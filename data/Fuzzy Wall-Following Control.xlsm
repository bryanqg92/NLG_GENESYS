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and\Documents\LEANDRO\UBA\CEIA\PROYECTO DE GRADO\data\"/>
    </mc:Choice>
  </mc:AlternateContent>
  <xr:revisionPtr revIDLastSave="0" documentId="13_ncr:1_{EBC8D79F-2BCB-459B-B12B-4C5C92FE7796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Entrada P" sheetId="1" r:id="rId1"/>
    <sheet name="Entrada D" sheetId="3" r:id="rId2"/>
    <sheet name="Salida M" sheetId="4" r:id="rId3"/>
    <sheet name="Hoja2" sheetId="10" r:id="rId4"/>
    <sheet name="FAM" sheetId="8" r:id="rId5"/>
    <sheet name="Hoja3" sheetId="11" r:id="rId6"/>
    <sheet name="Hoja1" sheetId="9" r:id="rId7"/>
    <sheet name="M=f(P,D)" sheetId="5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8" i="8" l="1"/>
  <c r="J108" i="8"/>
  <c r="K107" i="8"/>
  <c r="J107" i="8"/>
  <c r="K106" i="8"/>
  <c r="J106" i="8"/>
  <c r="K105" i="8"/>
  <c r="J105" i="8"/>
  <c r="K104" i="8"/>
  <c r="J104" i="8"/>
  <c r="K103" i="8"/>
  <c r="J103" i="8"/>
  <c r="K102" i="8"/>
  <c r="J102" i="8"/>
  <c r="K101" i="8"/>
  <c r="J101" i="8"/>
  <c r="K100" i="8"/>
  <c r="J100" i="8"/>
  <c r="K99" i="8"/>
  <c r="J99" i="8"/>
  <c r="K98" i="8"/>
  <c r="J98" i="8"/>
  <c r="K97" i="8"/>
  <c r="J97" i="8"/>
  <c r="K96" i="8"/>
  <c r="J96" i="8"/>
  <c r="K95" i="8"/>
  <c r="J95" i="8"/>
  <c r="K94" i="8"/>
  <c r="J94" i="8"/>
  <c r="K93" i="8"/>
  <c r="J93" i="8"/>
  <c r="K92" i="8"/>
  <c r="J92" i="8"/>
  <c r="K91" i="8"/>
  <c r="J91" i="8"/>
  <c r="K90" i="8"/>
  <c r="J90" i="8"/>
  <c r="K89" i="8"/>
  <c r="J89" i="8"/>
  <c r="K88" i="8"/>
  <c r="J88" i="8"/>
  <c r="K87" i="8"/>
  <c r="J87" i="8"/>
  <c r="K86" i="8"/>
  <c r="J86" i="8"/>
  <c r="K85" i="8"/>
  <c r="J85" i="8"/>
  <c r="K84" i="8"/>
  <c r="J84" i="8"/>
  <c r="K83" i="8"/>
  <c r="J83" i="8"/>
  <c r="K82" i="8"/>
  <c r="J82" i="8"/>
  <c r="K81" i="8"/>
  <c r="J81" i="8"/>
  <c r="K80" i="8"/>
  <c r="J80" i="8"/>
  <c r="K79" i="8"/>
  <c r="J79" i="8"/>
  <c r="K78" i="8"/>
  <c r="J78" i="8"/>
  <c r="K77" i="8"/>
  <c r="J77" i="8"/>
  <c r="K76" i="8"/>
  <c r="J76" i="8"/>
  <c r="K75" i="8"/>
  <c r="J75" i="8"/>
  <c r="K74" i="8"/>
  <c r="J74" i="8"/>
  <c r="K73" i="8"/>
  <c r="J73" i="8"/>
  <c r="K72" i="8"/>
  <c r="J72" i="8"/>
  <c r="K71" i="8"/>
  <c r="J71" i="8"/>
  <c r="K70" i="8"/>
  <c r="J70" i="8"/>
  <c r="K69" i="8"/>
  <c r="J69" i="8"/>
  <c r="K68" i="8"/>
  <c r="J68" i="8"/>
  <c r="K67" i="8"/>
  <c r="J67" i="8"/>
  <c r="K66" i="8"/>
  <c r="J66" i="8"/>
  <c r="K65" i="8"/>
  <c r="J65" i="8"/>
  <c r="K64" i="8"/>
  <c r="J64" i="8"/>
  <c r="K63" i="8"/>
  <c r="J63" i="8"/>
  <c r="K62" i="8"/>
  <c r="J62" i="8"/>
  <c r="K61" i="8"/>
  <c r="J61" i="8"/>
  <c r="K60" i="8"/>
  <c r="J60" i="8"/>
  <c r="K59" i="8"/>
  <c r="J59" i="8"/>
  <c r="K58" i="8"/>
  <c r="J58" i="8"/>
  <c r="K57" i="8"/>
  <c r="J57" i="8"/>
  <c r="K56" i="8"/>
  <c r="J56" i="8"/>
  <c r="K55" i="8"/>
  <c r="J55" i="8"/>
  <c r="K54" i="8"/>
  <c r="J54" i="8"/>
  <c r="K53" i="8"/>
  <c r="J53" i="8"/>
  <c r="K52" i="8"/>
  <c r="J52" i="8"/>
  <c r="K51" i="8"/>
  <c r="J51" i="8"/>
  <c r="K50" i="8"/>
  <c r="J50" i="8"/>
  <c r="K49" i="8"/>
  <c r="J49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J34" i="8"/>
  <c r="K35" i="8" l="1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S8" i="8"/>
  <c r="K13" i="8"/>
  <c r="X11" i="8"/>
  <c r="V10" i="8"/>
  <c r="W10" i="8"/>
  <c r="U9" i="8"/>
  <c r="O2" i="8"/>
  <c r="N3" i="8"/>
  <c r="N4" i="8"/>
  <c r="M5" i="8"/>
  <c r="M13" i="8" s="1"/>
  <c r="F2" i="8"/>
  <c r="E3" i="8"/>
  <c r="E4" i="8"/>
  <c r="D5" i="8"/>
  <c r="D13" i="8" s="1"/>
  <c r="D7" i="4" l="1"/>
  <c r="E7" i="4"/>
  <c r="F7" i="4"/>
  <c r="G7" i="4"/>
  <c r="H7" i="4"/>
  <c r="N7" i="4"/>
  <c r="M7" i="4"/>
  <c r="L7" i="4"/>
  <c r="K7" i="4"/>
  <c r="J7" i="4"/>
  <c r="I7" i="4"/>
  <c r="N306" i="4" l="1"/>
  <c r="N9" i="4"/>
  <c r="M306" i="4"/>
  <c r="M9" i="4"/>
  <c r="E306" i="4"/>
  <c r="E9" i="4"/>
  <c r="K306" i="4"/>
  <c r="K9" i="4"/>
  <c r="J306" i="4"/>
  <c r="J9" i="4"/>
  <c r="F306" i="4"/>
  <c r="F9" i="4"/>
  <c r="G306" i="4"/>
  <c r="B10" i="4"/>
  <c r="N10" i="4" s="1"/>
  <c r="H306" i="4"/>
  <c r="D306" i="4"/>
  <c r="G9" i="4"/>
  <c r="F10" i="4" l="1"/>
  <c r="M10" i="4"/>
  <c r="E10" i="4"/>
  <c r="K10" i="4"/>
  <c r="J10" i="4"/>
  <c r="H10" i="4"/>
  <c r="B11" i="4"/>
  <c r="G10" i="4"/>
  <c r="D10" i="4"/>
  <c r="I306" i="4"/>
  <c r="I9" i="4"/>
  <c r="I10" i="4"/>
  <c r="H9" i="4"/>
  <c r="L10" i="4"/>
  <c r="L306" i="4"/>
  <c r="D9" i="4"/>
  <c r="L9" i="4"/>
  <c r="F5" i="3"/>
  <c r="X9" i="8" s="1"/>
  <c r="F4" i="3"/>
  <c r="W9" i="8" s="1"/>
  <c r="D3" i="3"/>
  <c r="V11" i="8" s="1"/>
  <c r="D2" i="3"/>
  <c r="U11" i="8" s="1"/>
  <c r="D306" i="3"/>
  <c r="B10" i="3"/>
  <c r="B11" i="3" s="1"/>
  <c r="B12" i="3" s="1"/>
  <c r="E5" i="3"/>
  <c r="D4" i="3"/>
  <c r="W11" i="8" s="1"/>
  <c r="F3" i="3"/>
  <c r="V9" i="8" s="1"/>
  <c r="E2" i="3"/>
  <c r="U10" i="8" s="1"/>
  <c r="J11" i="8" l="1"/>
  <c r="D11" i="8" s="1"/>
  <c r="D26" i="8" s="1"/>
  <c r="S11" i="8"/>
  <c r="M11" i="8" s="1"/>
  <c r="M26" i="8" s="1"/>
  <c r="E306" i="3"/>
  <c r="X10" i="8"/>
  <c r="J9" i="8"/>
  <c r="S9" i="8"/>
  <c r="N11" i="4"/>
  <c r="M11" i="4"/>
  <c r="E11" i="4"/>
  <c r="J11" i="4"/>
  <c r="K11" i="4"/>
  <c r="F11" i="4"/>
  <c r="L11" i="4"/>
  <c r="D11" i="4"/>
  <c r="I11" i="4"/>
  <c r="G11" i="4"/>
  <c r="B12" i="4"/>
  <c r="H11" i="4"/>
  <c r="D10" i="3"/>
  <c r="E9" i="3"/>
  <c r="D9" i="3"/>
  <c r="F306" i="3"/>
  <c r="F9" i="3"/>
  <c r="E11" i="3"/>
  <c r="F10" i="3"/>
  <c r="F12" i="3"/>
  <c r="D12" i="3"/>
  <c r="E12" i="3"/>
  <c r="B13" i="3"/>
  <c r="F11" i="3"/>
  <c r="E10" i="3"/>
  <c r="D11" i="3"/>
  <c r="H5" i="1"/>
  <c r="G5" i="1"/>
  <c r="F5" i="1"/>
  <c r="D5" i="1"/>
  <c r="H4" i="1"/>
  <c r="G4" i="1"/>
  <c r="E4" i="1"/>
  <c r="D4" i="1"/>
  <c r="H3" i="1"/>
  <c r="G3" i="1"/>
  <c r="E3" i="1"/>
  <c r="D3" i="1"/>
  <c r="H2" i="1"/>
  <c r="F2" i="1"/>
  <c r="E2" i="1"/>
  <c r="D2" i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P3" i="8" l="1"/>
  <c r="G3" i="8"/>
  <c r="G5" i="8"/>
  <c r="P5" i="8"/>
  <c r="F5" i="8"/>
  <c r="O5" i="8"/>
  <c r="L2" i="8"/>
  <c r="C2" i="8"/>
  <c r="L4" i="8"/>
  <c r="C4" i="8"/>
  <c r="G4" i="8"/>
  <c r="P4" i="8"/>
  <c r="L3" i="8"/>
  <c r="C3" i="8"/>
  <c r="M2" i="8"/>
  <c r="D2" i="8"/>
  <c r="F3" i="8"/>
  <c r="O3" i="8"/>
  <c r="M3" i="8"/>
  <c r="D3" i="8"/>
  <c r="N2" i="8"/>
  <c r="E2" i="8"/>
  <c r="O4" i="8"/>
  <c r="F4" i="8"/>
  <c r="N5" i="8"/>
  <c r="N13" i="8" s="1"/>
  <c r="N11" i="8" s="1"/>
  <c r="N26" i="8" s="1"/>
  <c r="E5" i="8"/>
  <c r="E13" i="8" s="1"/>
  <c r="E11" i="8" s="1"/>
  <c r="E26" i="8" s="1"/>
  <c r="P2" i="8"/>
  <c r="G2" i="8"/>
  <c r="G13" i="8" s="1"/>
  <c r="G11" i="8" s="1"/>
  <c r="G26" i="8" s="1"/>
  <c r="D4" i="8"/>
  <c r="M4" i="8"/>
  <c r="L5" i="8"/>
  <c r="L13" i="8" s="1"/>
  <c r="L11" i="8" s="1"/>
  <c r="L26" i="8" s="1"/>
  <c r="C5" i="8"/>
  <c r="C13" i="8" s="1"/>
  <c r="C11" i="8" s="1"/>
  <c r="C26" i="8" s="1"/>
  <c r="J10" i="8"/>
  <c r="S10" i="8"/>
  <c r="M9" i="8"/>
  <c r="M24" i="8" s="1"/>
  <c r="D9" i="8"/>
  <c r="D24" i="8" s="1"/>
  <c r="N12" i="4"/>
  <c r="M12" i="4"/>
  <c r="E12" i="4"/>
  <c r="K12" i="4"/>
  <c r="J12" i="4"/>
  <c r="F12" i="4"/>
  <c r="H12" i="4"/>
  <c r="B13" i="4"/>
  <c r="G12" i="4"/>
  <c r="D12" i="4"/>
  <c r="I12" i="4"/>
  <c r="L12" i="4"/>
  <c r="B14" i="3"/>
  <c r="D13" i="3"/>
  <c r="F13" i="3"/>
  <c r="E13" i="3"/>
  <c r="H9" i="1"/>
  <c r="G9" i="1"/>
  <c r="D9" i="1"/>
  <c r="F9" i="1"/>
  <c r="E9" i="1"/>
  <c r="E9" i="8" l="1"/>
  <c r="E24" i="8" s="1"/>
  <c r="G9" i="8"/>
  <c r="G24" i="8" s="1"/>
  <c r="P13" i="8"/>
  <c r="P10" i="8" s="1"/>
  <c r="P25" i="8" s="1"/>
  <c r="O13" i="8"/>
  <c r="O11" i="8" s="1"/>
  <c r="O26" i="8" s="1"/>
  <c r="C9" i="8"/>
  <c r="C24" i="8" s="1"/>
  <c r="L9" i="8"/>
  <c r="L24" i="8" s="1"/>
  <c r="F13" i="8"/>
  <c r="F10" i="8" s="1"/>
  <c r="F25" i="8" s="1"/>
  <c r="N9" i="8"/>
  <c r="N24" i="8" s="1"/>
  <c r="M10" i="8"/>
  <c r="M25" i="8" s="1"/>
  <c r="L10" i="8"/>
  <c r="L25" i="8" s="1"/>
  <c r="N10" i="8"/>
  <c r="N25" i="8" s="1"/>
  <c r="C10" i="8"/>
  <c r="C25" i="8" s="1"/>
  <c r="D10" i="8"/>
  <c r="D25" i="8" s="1"/>
  <c r="G10" i="8"/>
  <c r="G25" i="8" s="1"/>
  <c r="E10" i="8"/>
  <c r="E25" i="8" s="1"/>
  <c r="N13" i="4"/>
  <c r="M13" i="4"/>
  <c r="E13" i="4"/>
  <c r="K13" i="4"/>
  <c r="J13" i="4"/>
  <c r="F13" i="4"/>
  <c r="L13" i="4"/>
  <c r="D13" i="4"/>
  <c r="I13" i="4"/>
  <c r="H13" i="4"/>
  <c r="G13" i="4"/>
  <c r="B14" i="4"/>
  <c r="F14" i="3"/>
  <c r="B15" i="3"/>
  <c r="E14" i="3"/>
  <c r="D14" i="3"/>
  <c r="E306" i="1"/>
  <c r="D306" i="1"/>
  <c r="G306" i="1"/>
  <c r="F306" i="1"/>
  <c r="H306" i="1"/>
  <c r="P11" i="8" l="1"/>
  <c r="P26" i="8" s="1"/>
  <c r="P9" i="8"/>
  <c r="P24" i="8" s="1"/>
  <c r="O10" i="8"/>
  <c r="O25" i="8" s="1"/>
  <c r="O9" i="8"/>
  <c r="O24" i="8" s="1"/>
  <c r="F11" i="8"/>
  <c r="F26" i="8" s="1"/>
  <c r="F9" i="8"/>
  <c r="F24" i="8" s="1"/>
  <c r="N14" i="4"/>
  <c r="M14" i="4"/>
  <c r="E14" i="4"/>
  <c r="K14" i="4"/>
  <c r="F14" i="4"/>
  <c r="J14" i="4"/>
  <c r="H14" i="4"/>
  <c r="B15" i="4"/>
  <c r="G14" i="4"/>
  <c r="L14" i="4"/>
  <c r="I14" i="4"/>
  <c r="D14" i="4"/>
  <c r="B16" i="3"/>
  <c r="D15" i="3"/>
  <c r="F15" i="3"/>
  <c r="E15" i="3"/>
  <c r="H12" i="1"/>
  <c r="D12" i="1"/>
  <c r="E12" i="1"/>
  <c r="F12" i="1"/>
  <c r="G12" i="1"/>
  <c r="E11" i="1"/>
  <c r="D11" i="1"/>
  <c r="F11" i="1"/>
  <c r="H11" i="1"/>
  <c r="G11" i="1"/>
  <c r="H10" i="1"/>
  <c r="D10" i="1"/>
  <c r="G10" i="1"/>
  <c r="E10" i="1"/>
  <c r="F10" i="1"/>
  <c r="D7" i="8" l="1"/>
  <c r="M7" i="8"/>
  <c r="M15" i="4"/>
  <c r="N15" i="4"/>
  <c r="E15" i="4"/>
  <c r="K15" i="4"/>
  <c r="J15" i="4"/>
  <c r="F15" i="4"/>
  <c r="L15" i="4"/>
  <c r="D15" i="4"/>
  <c r="I15" i="4"/>
  <c r="G15" i="4"/>
  <c r="B16" i="4"/>
  <c r="H15" i="4"/>
  <c r="F16" i="3"/>
  <c r="D16" i="3"/>
  <c r="E16" i="3"/>
  <c r="B17" i="3"/>
  <c r="D13" i="1"/>
  <c r="E13" i="1"/>
  <c r="F13" i="1"/>
  <c r="G13" i="1"/>
  <c r="H13" i="1"/>
  <c r="N16" i="4" l="1"/>
  <c r="M16" i="4"/>
  <c r="K16" i="4"/>
  <c r="E16" i="4"/>
  <c r="J16" i="4"/>
  <c r="F16" i="4"/>
  <c r="H16" i="4"/>
  <c r="B17" i="4"/>
  <c r="G16" i="4"/>
  <c r="D16" i="4"/>
  <c r="I16" i="4"/>
  <c r="L16" i="4"/>
  <c r="B18" i="3"/>
  <c r="D17" i="3"/>
  <c r="F17" i="3"/>
  <c r="E17" i="3"/>
  <c r="H14" i="1"/>
  <c r="G14" i="1"/>
  <c r="F14" i="1"/>
  <c r="D14" i="1"/>
  <c r="E14" i="1"/>
  <c r="N17" i="4" l="1"/>
  <c r="M17" i="4"/>
  <c r="E17" i="4"/>
  <c r="K17" i="4"/>
  <c r="J17" i="4"/>
  <c r="F17" i="4"/>
  <c r="L17" i="4"/>
  <c r="D17" i="4"/>
  <c r="I17" i="4"/>
  <c r="H17" i="4"/>
  <c r="G17" i="4"/>
  <c r="B18" i="4"/>
  <c r="F18" i="3"/>
  <c r="B19" i="3"/>
  <c r="E18" i="3"/>
  <c r="D18" i="3"/>
  <c r="G15" i="1"/>
  <c r="F15" i="1"/>
  <c r="E15" i="1"/>
  <c r="D15" i="1"/>
  <c r="H15" i="1"/>
  <c r="N18" i="4" l="1"/>
  <c r="M18" i="4"/>
  <c r="E18" i="4"/>
  <c r="K18" i="4"/>
  <c r="J18" i="4"/>
  <c r="F18" i="4"/>
  <c r="H18" i="4"/>
  <c r="B19" i="4"/>
  <c r="G18" i="4"/>
  <c r="L18" i="4"/>
  <c r="I18" i="4"/>
  <c r="D18" i="4"/>
  <c r="B20" i="3"/>
  <c r="D19" i="3"/>
  <c r="F19" i="3"/>
  <c r="E19" i="3"/>
  <c r="E16" i="1"/>
  <c r="G16" i="1"/>
  <c r="F16" i="1"/>
  <c r="D16" i="1"/>
  <c r="H16" i="1"/>
  <c r="N19" i="4" l="1"/>
  <c r="M19" i="4"/>
  <c r="E19" i="4"/>
  <c r="K19" i="4"/>
  <c r="J19" i="4"/>
  <c r="F19" i="4"/>
  <c r="L19" i="4"/>
  <c r="D19" i="4"/>
  <c r="I19" i="4"/>
  <c r="B20" i="4"/>
  <c r="G19" i="4"/>
  <c r="H19" i="4"/>
  <c r="F20" i="3"/>
  <c r="D20" i="3"/>
  <c r="E20" i="3"/>
  <c r="B21" i="3"/>
  <c r="G17" i="1"/>
  <c r="F17" i="1"/>
  <c r="D17" i="1"/>
  <c r="E17" i="1"/>
  <c r="H17" i="1"/>
  <c r="N20" i="4" l="1"/>
  <c r="M20" i="4"/>
  <c r="E20" i="4"/>
  <c r="K20" i="4"/>
  <c r="F20" i="4"/>
  <c r="J20" i="4"/>
  <c r="H20" i="4"/>
  <c r="B21" i="4"/>
  <c r="G20" i="4"/>
  <c r="D20" i="4"/>
  <c r="I20" i="4"/>
  <c r="L20" i="4"/>
  <c r="B22" i="3"/>
  <c r="D21" i="3"/>
  <c r="F21" i="3"/>
  <c r="E21" i="3"/>
  <c r="F18" i="1"/>
  <c r="D18" i="1"/>
  <c r="G18" i="1"/>
  <c r="H18" i="1"/>
  <c r="E18" i="1"/>
  <c r="N21" i="4" l="1"/>
  <c r="M21" i="4"/>
  <c r="E21" i="4"/>
  <c r="K21" i="4"/>
  <c r="J21" i="4"/>
  <c r="F21" i="4"/>
  <c r="L21" i="4"/>
  <c r="D21" i="4"/>
  <c r="I21" i="4"/>
  <c r="H21" i="4"/>
  <c r="B22" i="4"/>
  <c r="G21" i="4"/>
  <c r="F22" i="3"/>
  <c r="B23" i="3"/>
  <c r="E22" i="3"/>
  <c r="D22" i="3"/>
  <c r="D19" i="1"/>
  <c r="E19" i="1"/>
  <c r="F19" i="1"/>
  <c r="G19" i="1"/>
  <c r="H19" i="1"/>
  <c r="N22" i="4" l="1"/>
  <c r="M22" i="4"/>
  <c r="E22" i="4"/>
  <c r="J22" i="4"/>
  <c r="F22" i="4"/>
  <c r="K22" i="4"/>
  <c r="H22" i="4"/>
  <c r="B23" i="4"/>
  <c r="G22" i="4"/>
  <c r="L22" i="4"/>
  <c r="I22" i="4"/>
  <c r="D22" i="4"/>
  <c r="B24" i="3"/>
  <c r="D23" i="3"/>
  <c r="F23" i="3"/>
  <c r="E23" i="3"/>
  <c r="E20" i="1"/>
  <c r="F20" i="1"/>
  <c r="D20" i="1"/>
  <c r="H20" i="1"/>
  <c r="G20" i="1"/>
  <c r="M23" i="4" l="1"/>
  <c r="N23" i="4"/>
  <c r="E23" i="4"/>
  <c r="K23" i="4"/>
  <c r="J23" i="4"/>
  <c r="F23" i="4"/>
  <c r="L23" i="4"/>
  <c r="D23" i="4"/>
  <c r="I23" i="4"/>
  <c r="B24" i="4"/>
  <c r="H23" i="4"/>
  <c r="G23" i="4"/>
  <c r="F24" i="3"/>
  <c r="D24" i="3"/>
  <c r="E24" i="3"/>
  <c r="B25" i="3"/>
  <c r="E21" i="1"/>
  <c r="G21" i="1"/>
  <c r="F21" i="1"/>
  <c r="D21" i="1"/>
  <c r="H21" i="1"/>
  <c r="N24" i="4" l="1"/>
  <c r="M24" i="4"/>
  <c r="K24" i="4"/>
  <c r="E24" i="4"/>
  <c r="J24" i="4"/>
  <c r="F24" i="4"/>
  <c r="H24" i="4"/>
  <c r="B25" i="4"/>
  <c r="G24" i="4"/>
  <c r="D24" i="4"/>
  <c r="I24" i="4"/>
  <c r="L24" i="4"/>
  <c r="B26" i="3"/>
  <c r="D25" i="3"/>
  <c r="F25" i="3"/>
  <c r="E25" i="3"/>
  <c r="E22" i="1"/>
  <c r="G22" i="1"/>
  <c r="F22" i="1"/>
  <c r="D22" i="1"/>
  <c r="H22" i="1"/>
  <c r="N25" i="4" l="1"/>
  <c r="M25" i="4"/>
  <c r="E25" i="4"/>
  <c r="K25" i="4"/>
  <c r="J25" i="4"/>
  <c r="F25" i="4"/>
  <c r="L25" i="4"/>
  <c r="D25" i="4"/>
  <c r="I25" i="4"/>
  <c r="H25" i="4"/>
  <c r="B26" i="4"/>
  <c r="G25" i="4"/>
  <c r="F26" i="3"/>
  <c r="B27" i="3"/>
  <c r="E26" i="3"/>
  <c r="D26" i="3"/>
  <c r="D23" i="1"/>
  <c r="G23" i="1"/>
  <c r="E23" i="1"/>
  <c r="F23" i="1"/>
  <c r="H23" i="1"/>
  <c r="N26" i="4" l="1"/>
  <c r="M26" i="4"/>
  <c r="E26" i="4"/>
  <c r="K26" i="4"/>
  <c r="J26" i="4"/>
  <c r="F26" i="4"/>
  <c r="H26" i="4"/>
  <c r="B27" i="4"/>
  <c r="G26" i="4"/>
  <c r="L26" i="4"/>
  <c r="I26" i="4"/>
  <c r="D26" i="4"/>
  <c r="B28" i="3"/>
  <c r="D27" i="3"/>
  <c r="F27" i="3"/>
  <c r="E27" i="3"/>
  <c r="H24" i="1"/>
  <c r="F24" i="1"/>
  <c r="D24" i="1"/>
  <c r="E24" i="1"/>
  <c r="G24" i="1"/>
  <c r="N27" i="4" l="1"/>
  <c r="M27" i="4"/>
  <c r="E27" i="4"/>
  <c r="K27" i="4"/>
  <c r="J27" i="4"/>
  <c r="F27" i="4"/>
  <c r="L27" i="4"/>
  <c r="D27" i="4"/>
  <c r="I27" i="4"/>
  <c r="B28" i="4"/>
  <c r="H27" i="4"/>
  <c r="G27" i="4"/>
  <c r="F28" i="3"/>
  <c r="D28" i="3"/>
  <c r="E28" i="3"/>
  <c r="B29" i="3"/>
  <c r="F25" i="1"/>
  <c r="D25" i="1"/>
  <c r="E25" i="1"/>
  <c r="G25" i="1"/>
  <c r="H25" i="1"/>
  <c r="M28" i="4" l="1"/>
  <c r="N28" i="4"/>
  <c r="K28" i="4"/>
  <c r="E28" i="4"/>
  <c r="J28" i="4"/>
  <c r="F28" i="4"/>
  <c r="H28" i="4"/>
  <c r="B29" i="4"/>
  <c r="G28" i="4"/>
  <c r="D28" i="4"/>
  <c r="I28" i="4"/>
  <c r="L28" i="4"/>
  <c r="B30" i="3"/>
  <c r="D29" i="3"/>
  <c r="F29" i="3"/>
  <c r="E29" i="3"/>
  <c r="E26" i="1"/>
  <c r="G26" i="1"/>
  <c r="F26" i="1"/>
  <c r="D26" i="1"/>
  <c r="H26" i="1"/>
  <c r="N29" i="4" l="1"/>
  <c r="M29" i="4"/>
  <c r="E29" i="4"/>
  <c r="K29" i="4"/>
  <c r="J29" i="4"/>
  <c r="F29" i="4"/>
  <c r="L29" i="4"/>
  <c r="D29" i="4"/>
  <c r="I29" i="4"/>
  <c r="H29" i="4"/>
  <c r="G29" i="4"/>
  <c r="B30" i="4"/>
  <c r="F30" i="3"/>
  <c r="B31" i="3"/>
  <c r="E30" i="3"/>
  <c r="D30" i="3"/>
  <c r="E27" i="1"/>
  <c r="G27" i="1"/>
  <c r="D27" i="1"/>
  <c r="F27" i="1"/>
  <c r="H27" i="1"/>
  <c r="N30" i="4" l="1"/>
  <c r="M30" i="4"/>
  <c r="E30" i="4"/>
  <c r="K30" i="4"/>
  <c r="F30" i="4"/>
  <c r="J30" i="4"/>
  <c r="H30" i="4"/>
  <c r="B31" i="4"/>
  <c r="G30" i="4"/>
  <c r="L30" i="4"/>
  <c r="I30" i="4"/>
  <c r="D30" i="4"/>
  <c r="B32" i="3"/>
  <c r="D31" i="3"/>
  <c r="F31" i="3"/>
  <c r="E31" i="3"/>
  <c r="E28" i="1"/>
  <c r="F28" i="1"/>
  <c r="D28" i="1"/>
  <c r="G28" i="1"/>
  <c r="H28" i="1"/>
  <c r="M31" i="4" l="1"/>
  <c r="N31" i="4"/>
  <c r="E31" i="4"/>
  <c r="K31" i="4"/>
  <c r="J31" i="4"/>
  <c r="F31" i="4"/>
  <c r="L31" i="4"/>
  <c r="D31" i="4"/>
  <c r="I31" i="4"/>
  <c r="G31" i="4"/>
  <c r="B32" i="4"/>
  <c r="H31" i="4"/>
  <c r="F32" i="3"/>
  <c r="D32" i="3"/>
  <c r="E32" i="3"/>
  <c r="B33" i="3"/>
  <c r="G29" i="1"/>
  <c r="F29" i="1"/>
  <c r="H29" i="1"/>
  <c r="D29" i="1"/>
  <c r="E29" i="1"/>
  <c r="N32" i="4" l="1"/>
  <c r="M32" i="4"/>
  <c r="K32" i="4"/>
  <c r="E32" i="4"/>
  <c r="J32" i="4"/>
  <c r="F32" i="4"/>
  <c r="H32" i="4"/>
  <c r="B33" i="4"/>
  <c r="G32" i="4"/>
  <c r="D32" i="4"/>
  <c r="I32" i="4"/>
  <c r="L32" i="4"/>
  <c r="B34" i="3"/>
  <c r="D33" i="3"/>
  <c r="F33" i="3"/>
  <c r="E33" i="3"/>
  <c r="E30" i="1"/>
  <c r="G30" i="1"/>
  <c r="F30" i="1"/>
  <c r="D30" i="1"/>
  <c r="H30" i="1"/>
  <c r="N33" i="4" l="1"/>
  <c r="M33" i="4"/>
  <c r="E33" i="4"/>
  <c r="K33" i="4"/>
  <c r="J33" i="4"/>
  <c r="F33" i="4"/>
  <c r="L33" i="4"/>
  <c r="D33" i="4"/>
  <c r="I33" i="4"/>
  <c r="H33" i="4"/>
  <c r="G33" i="4"/>
  <c r="B34" i="4"/>
  <c r="F34" i="3"/>
  <c r="B35" i="3"/>
  <c r="E34" i="3"/>
  <c r="D34" i="3"/>
  <c r="E31" i="1"/>
  <c r="F31" i="1"/>
  <c r="H31" i="1"/>
  <c r="D31" i="1"/>
  <c r="G31" i="1"/>
  <c r="N34" i="4" l="1"/>
  <c r="M34" i="4"/>
  <c r="E34" i="4"/>
  <c r="K34" i="4"/>
  <c r="J34" i="4"/>
  <c r="F34" i="4"/>
  <c r="H34" i="4"/>
  <c r="B35" i="4"/>
  <c r="G34" i="4"/>
  <c r="L34" i="4"/>
  <c r="I34" i="4"/>
  <c r="D34" i="4"/>
  <c r="B36" i="3"/>
  <c r="D35" i="3"/>
  <c r="F35" i="3"/>
  <c r="E35" i="3"/>
  <c r="H32" i="1"/>
  <c r="G32" i="1"/>
  <c r="F32" i="1"/>
  <c r="D32" i="1"/>
  <c r="E32" i="1"/>
  <c r="N35" i="4" l="1"/>
  <c r="M35" i="4"/>
  <c r="E35" i="4"/>
  <c r="K35" i="4"/>
  <c r="J35" i="4"/>
  <c r="F35" i="4"/>
  <c r="L35" i="4"/>
  <c r="D35" i="4"/>
  <c r="I35" i="4"/>
  <c r="B36" i="4"/>
  <c r="H35" i="4"/>
  <c r="G35" i="4"/>
  <c r="F36" i="3"/>
  <c r="D36" i="3"/>
  <c r="E36" i="3"/>
  <c r="B37" i="3"/>
  <c r="E33" i="1"/>
  <c r="F33" i="1"/>
  <c r="H33" i="1"/>
  <c r="D33" i="1"/>
  <c r="G33" i="1"/>
  <c r="N36" i="4" l="1"/>
  <c r="M36" i="4"/>
  <c r="E36" i="4"/>
  <c r="K36" i="4"/>
  <c r="F36" i="4"/>
  <c r="J36" i="4"/>
  <c r="H36" i="4"/>
  <c r="B37" i="4"/>
  <c r="G36" i="4"/>
  <c r="D36" i="4"/>
  <c r="I36" i="4"/>
  <c r="L36" i="4"/>
  <c r="B38" i="3"/>
  <c r="D37" i="3"/>
  <c r="F37" i="3"/>
  <c r="E37" i="3"/>
  <c r="E34" i="1"/>
  <c r="G34" i="1"/>
  <c r="F34" i="1"/>
  <c r="H34" i="1"/>
  <c r="D34" i="1"/>
  <c r="N37" i="4" l="1"/>
  <c r="M37" i="4"/>
  <c r="E37" i="4"/>
  <c r="K37" i="4"/>
  <c r="J37" i="4"/>
  <c r="F37" i="4"/>
  <c r="L37" i="4"/>
  <c r="D37" i="4"/>
  <c r="I37" i="4"/>
  <c r="H37" i="4"/>
  <c r="G37" i="4"/>
  <c r="B38" i="4"/>
  <c r="F38" i="3"/>
  <c r="B39" i="3"/>
  <c r="E38" i="3"/>
  <c r="D38" i="3"/>
  <c r="D35" i="1"/>
  <c r="G35" i="1"/>
  <c r="H35" i="1"/>
  <c r="F35" i="1"/>
  <c r="E35" i="1"/>
  <c r="N38" i="4" l="1"/>
  <c r="M38" i="4"/>
  <c r="E38" i="4"/>
  <c r="K38" i="4"/>
  <c r="J38" i="4"/>
  <c r="F38" i="4"/>
  <c r="L38" i="4"/>
  <c r="H38" i="4"/>
  <c r="G38" i="4"/>
  <c r="B39" i="4"/>
  <c r="I38" i="4"/>
  <c r="D38" i="4"/>
  <c r="B40" i="3"/>
  <c r="D39" i="3"/>
  <c r="F39" i="3"/>
  <c r="E39" i="3"/>
  <c r="H36" i="1"/>
  <c r="F36" i="1"/>
  <c r="D36" i="1"/>
  <c r="E36" i="1"/>
  <c r="G36" i="1"/>
  <c r="M39" i="4" l="1"/>
  <c r="N39" i="4"/>
  <c r="E39" i="4"/>
  <c r="K39" i="4"/>
  <c r="J39" i="4"/>
  <c r="F39" i="4"/>
  <c r="H39" i="4"/>
  <c r="G39" i="4"/>
  <c r="B40" i="4"/>
  <c r="D39" i="4"/>
  <c r="I39" i="4"/>
  <c r="L39" i="4"/>
  <c r="F40" i="3"/>
  <c r="D40" i="3"/>
  <c r="E40" i="3"/>
  <c r="B41" i="3"/>
  <c r="D37" i="1"/>
  <c r="F37" i="1"/>
  <c r="H37" i="1"/>
  <c r="G37" i="1"/>
  <c r="E37" i="1"/>
  <c r="N40" i="4" l="1"/>
  <c r="M40" i="4"/>
  <c r="K40" i="4"/>
  <c r="E40" i="4"/>
  <c r="J40" i="4"/>
  <c r="F40" i="4"/>
  <c r="L40" i="4"/>
  <c r="D40" i="4"/>
  <c r="G40" i="4"/>
  <c r="B41" i="4"/>
  <c r="I40" i="4"/>
  <c r="H40" i="4"/>
  <c r="B42" i="3"/>
  <c r="D41" i="3"/>
  <c r="F41" i="3"/>
  <c r="E41" i="3"/>
  <c r="E38" i="1"/>
  <c r="G38" i="1"/>
  <c r="F38" i="1"/>
  <c r="H38" i="1"/>
  <c r="D38" i="1"/>
  <c r="N41" i="4" l="1"/>
  <c r="M41" i="4"/>
  <c r="E41" i="4"/>
  <c r="K41" i="4"/>
  <c r="J41" i="4"/>
  <c r="F41" i="4"/>
  <c r="H41" i="4"/>
  <c r="B42" i="4"/>
  <c r="D41" i="4"/>
  <c r="L41" i="4"/>
  <c r="G41" i="4"/>
  <c r="I41" i="4"/>
  <c r="F42" i="3"/>
  <c r="B43" i="3"/>
  <c r="E42" i="3"/>
  <c r="D42" i="3"/>
  <c r="E39" i="1"/>
  <c r="F39" i="1"/>
  <c r="H39" i="1"/>
  <c r="D39" i="1"/>
  <c r="G39" i="1"/>
  <c r="N42" i="4" l="1"/>
  <c r="M42" i="4"/>
  <c r="E42" i="4"/>
  <c r="K42" i="4"/>
  <c r="J42" i="4"/>
  <c r="F42" i="4"/>
  <c r="L42" i="4"/>
  <c r="D42" i="4"/>
  <c r="B43" i="4"/>
  <c r="I42" i="4"/>
  <c r="H42" i="4"/>
  <c r="G42" i="4"/>
  <c r="B44" i="3"/>
  <c r="D43" i="3"/>
  <c r="F43" i="3"/>
  <c r="E43" i="3"/>
  <c r="H40" i="1"/>
  <c r="G40" i="1"/>
  <c r="F40" i="1"/>
  <c r="E40" i="1"/>
  <c r="D40" i="1"/>
  <c r="N43" i="4" l="1"/>
  <c r="M43" i="4"/>
  <c r="E43" i="4"/>
  <c r="K43" i="4"/>
  <c r="J43" i="4"/>
  <c r="F43" i="4"/>
  <c r="H43" i="4"/>
  <c r="L43" i="4"/>
  <c r="I43" i="4"/>
  <c r="B44" i="4"/>
  <c r="G43" i="4"/>
  <c r="D43" i="4"/>
  <c r="F44" i="3"/>
  <c r="D44" i="3"/>
  <c r="E44" i="3"/>
  <c r="B45" i="3"/>
  <c r="G41" i="1"/>
  <c r="F41" i="1"/>
  <c r="H41" i="1"/>
  <c r="D41" i="1"/>
  <c r="E41" i="1"/>
  <c r="N44" i="4" l="1"/>
  <c r="M44" i="4"/>
  <c r="K44" i="4"/>
  <c r="E44" i="4"/>
  <c r="J44" i="4"/>
  <c r="F44" i="4"/>
  <c r="L44" i="4"/>
  <c r="D44" i="4"/>
  <c r="I44" i="4"/>
  <c r="H44" i="4"/>
  <c r="G44" i="4"/>
  <c r="B45" i="4"/>
  <c r="B46" i="3"/>
  <c r="D45" i="3"/>
  <c r="F45" i="3"/>
  <c r="E45" i="3"/>
  <c r="E42" i="1"/>
  <c r="G42" i="1"/>
  <c r="F42" i="1"/>
  <c r="D42" i="1"/>
  <c r="H42" i="1"/>
  <c r="N45" i="4" l="1"/>
  <c r="M45" i="4"/>
  <c r="E45" i="4"/>
  <c r="J45" i="4"/>
  <c r="K45" i="4"/>
  <c r="F45" i="4"/>
  <c r="H45" i="4"/>
  <c r="I45" i="4"/>
  <c r="G45" i="4"/>
  <c r="B46" i="4"/>
  <c r="L45" i="4"/>
  <c r="D45" i="4"/>
  <c r="F46" i="3"/>
  <c r="B47" i="3"/>
  <c r="E46" i="3"/>
  <c r="D46" i="3"/>
  <c r="E43" i="1"/>
  <c r="H43" i="1"/>
  <c r="F43" i="1"/>
  <c r="D43" i="1"/>
  <c r="G43" i="1"/>
  <c r="N46" i="4" l="1"/>
  <c r="M46" i="4"/>
  <c r="E46" i="4"/>
  <c r="K46" i="4"/>
  <c r="F46" i="4"/>
  <c r="J46" i="4"/>
  <c r="L46" i="4"/>
  <c r="D46" i="4"/>
  <c r="H46" i="4"/>
  <c r="G46" i="4"/>
  <c r="B47" i="4"/>
  <c r="I46" i="4"/>
  <c r="B48" i="3"/>
  <c r="D47" i="3"/>
  <c r="F47" i="3"/>
  <c r="E47" i="3"/>
  <c r="E44" i="1"/>
  <c r="F44" i="1"/>
  <c r="G44" i="1"/>
  <c r="H44" i="1"/>
  <c r="D44" i="1"/>
  <c r="M47" i="4" l="1"/>
  <c r="N47" i="4"/>
  <c r="E47" i="4"/>
  <c r="K47" i="4"/>
  <c r="J47" i="4"/>
  <c r="F47" i="4"/>
  <c r="H47" i="4"/>
  <c r="G47" i="4"/>
  <c r="B48" i="4"/>
  <c r="D47" i="4"/>
  <c r="L47" i="4"/>
  <c r="I47" i="4"/>
  <c r="F48" i="3"/>
  <c r="D48" i="3"/>
  <c r="E48" i="3"/>
  <c r="B49" i="3"/>
  <c r="G45" i="1"/>
  <c r="E45" i="1"/>
  <c r="D45" i="1"/>
  <c r="H45" i="1"/>
  <c r="F45" i="1"/>
  <c r="N48" i="4" l="1"/>
  <c r="M48" i="4"/>
  <c r="K48" i="4"/>
  <c r="E48" i="4"/>
  <c r="J48" i="4"/>
  <c r="F48" i="4"/>
  <c r="L48" i="4"/>
  <c r="D48" i="4"/>
  <c r="G48" i="4"/>
  <c r="B49" i="4"/>
  <c r="H48" i="4"/>
  <c r="I48" i="4"/>
  <c r="B50" i="3"/>
  <c r="D49" i="3"/>
  <c r="F49" i="3"/>
  <c r="E49" i="3"/>
  <c r="H46" i="1"/>
  <c r="F46" i="1"/>
  <c r="D46" i="1"/>
  <c r="E46" i="1"/>
  <c r="G46" i="1"/>
  <c r="N49" i="4" l="1"/>
  <c r="M49" i="4"/>
  <c r="E49" i="4"/>
  <c r="K49" i="4"/>
  <c r="J49" i="4"/>
  <c r="F49" i="4"/>
  <c r="H49" i="4"/>
  <c r="B50" i="4"/>
  <c r="D49" i="4"/>
  <c r="L49" i="4"/>
  <c r="I49" i="4"/>
  <c r="G49" i="4"/>
  <c r="F50" i="3"/>
  <c r="B51" i="3"/>
  <c r="E50" i="3"/>
  <c r="D50" i="3"/>
  <c r="D47" i="1"/>
  <c r="E47" i="1"/>
  <c r="H47" i="1"/>
  <c r="G47" i="1"/>
  <c r="F47" i="1"/>
  <c r="N50" i="4" l="1"/>
  <c r="M50" i="4"/>
  <c r="E50" i="4"/>
  <c r="K50" i="4"/>
  <c r="J50" i="4"/>
  <c r="F50" i="4"/>
  <c r="L50" i="4"/>
  <c r="D50" i="4"/>
  <c r="B51" i="4"/>
  <c r="I50" i="4"/>
  <c r="H50" i="4"/>
  <c r="G50" i="4"/>
  <c r="B52" i="3"/>
  <c r="D51" i="3"/>
  <c r="F51" i="3"/>
  <c r="E51" i="3"/>
  <c r="G48" i="1"/>
  <c r="D48" i="1"/>
  <c r="E48" i="1"/>
  <c r="H48" i="1"/>
  <c r="F48" i="1"/>
  <c r="N51" i="4" l="1"/>
  <c r="M51" i="4"/>
  <c r="E51" i="4"/>
  <c r="K51" i="4"/>
  <c r="J51" i="4"/>
  <c r="F51" i="4"/>
  <c r="H51" i="4"/>
  <c r="L51" i="4"/>
  <c r="D51" i="4"/>
  <c r="B52" i="4"/>
  <c r="I51" i="4"/>
  <c r="G51" i="4"/>
  <c r="F52" i="3"/>
  <c r="D52" i="3"/>
  <c r="E52" i="3"/>
  <c r="B53" i="3"/>
  <c r="G49" i="1"/>
  <c r="E49" i="1"/>
  <c r="H49" i="1"/>
  <c r="D49" i="1"/>
  <c r="F49" i="1"/>
  <c r="N52" i="4" l="1"/>
  <c r="M52" i="4"/>
  <c r="E52" i="4"/>
  <c r="K52" i="4"/>
  <c r="F52" i="4"/>
  <c r="J52" i="4"/>
  <c r="L52" i="4"/>
  <c r="D52" i="4"/>
  <c r="H52" i="4"/>
  <c r="I52" i="4"/>
  <c r="G52" i="4"/>
  <c r="B53" i="4"/>
  <c r="B54" i="3"/>
  <c r="D53" i="3"/>
  <c r="F53" i="3"/>
  <c r="E53" i="3"/>
  <c r="D50" i="1"/>
  <c r="F50" i="1"/>
  <c r="H50" i="1"/>
  <c r="E50" i="1"/>
  <c r="G50" i="1"/>
  <c r="N53" i="4" l="1"/>
  <c r="M53" i="4"/>
  <c r="E53" i="4"/>
  <c r="K53" i="4"/>
  <c r="J53" i="4"/>
  <c r="F53" i="4"/>
  <c r="H53" i="4"/>
  <c r="L53" i="4"/>
  <c r="D53" i="4"/>
  <c r="G53" i="4"/>
  <c r="B54" i="4"/>
  <c r="I53" i="4"/>
  <c r="F54" i="3"/>
  <c r="B55" i="3"/>
  <c r="E54" i="3"/>
  <c r="D54" i="3"/>
  <c r="F51" i="1"/>
  <c r="E51" i="1"/>
  <c r="H51" i="1"/>
  <c r="D51" i="1"/>
  <c r="G51" i="1"/>
  <c r="N54" i="4" l="1"/>
  <c r="M54" i="4"/>
  <c r="E54" i="4"/>
  <c r="K54" i="4"/>
  <c r="J54" i="4"/>
  <c r="F54" i="4"/>
  <c r="L54" i="4"/>
  <c r="D54" i="4"/>
  <c r="H54" i="4"/>
  <c r="B55" i="4"/>
  <c r="I54" i="4"/>
  <c r="G54" i="4"/>
  <c r="B56" i="3"/>
  <c r="D55" i="3"/>
  <c r="F55" i="3"/>
  <c r="E55" i="3"/>
  <c r="G52" i="1"/>
  <c r="F52" i="1"/>
  <c r="E52" i="1"/>
  <c r="H52" i="1"/>
  <c r="D52" i="1"/>
  <c r="M55" i="4" l="1"/>
  <c r="N55" i="4"/>
  <c r="E55" i="4"/>
  <c r="K55" i="4"/>
  <c r="J55" i="4"/>
  <c r="F55" i="4"/>
  <c r="H55" i="4"/>
  <c r="L55" i="4"/>
  <c r="D55" i="4"/>
  <c r="B56" i="4"/>
  <c r="I55" i="4"/>
  <c r="G55" i="4"/>
  <c r="F56" i="3"/>
  <c r="D56" i="3"/>
  <c r="E56" i="3"/>
  <c r="B57" i="3"/>
  <c r="F53" i="1"/>
  <c r="E53" i="1"/>
  <c r="H53" i="1"/>
  <c r="G53" i="1"/>
  <c r="D53" i="1"/>
  <c r="N56" i="4" l="1"/>
  <c r="M56" i="4"/>
  <c r="K56" i="4"/>
  <c r="E56" i="4"/>
  <c r="J56" i="4"/>
  <c r="F56" i="4"/>
  <c r="L56" i="4"/>
  <c r="D56" i="4"/>
  <c r="H56" i="4"/>
  <c r="G56" i="4"/>
  <c r="B57" i="4"/>
  <c r="I56" i="4"/>
  <c r="B58" i="3"/>
  <c r="D57" i="3"/>
  <c r="F57" i="3"/>
  <c r="E57" i="3"/>
  <c r="H54" i="1"/>
  <c r="F54" i="1"/>
  <c r="D54" i="1"/>
  <c r="E54" i="1"/>
  <c r="G54" i="1"/>
  <c r="N57" i="4" l="1"/>
  <c r="M57" i="4"/>
  <c r="E57" i="4"/>
  <c r="K57" i="4"/>
  <c r="J57" i="4"/>
  <c r="F57" i="4"/>
  <c r="H57" i="4"/>
  <c r="L57" i="4"/>
  <c r="D57" i="4"/>
  <c r="I57" i="4"/>
  <c r="G57" i="4"/>
  <c r="B58" i="4"/>
  <c r="F58" i="3"/>
  <c r="B59" i="3"/>
  <c r="E58" i="3"/>
  <c r="D58" i="3"/>
  <c r="F55" i="1"/>
  <c r="E55" i="1"/>
  <c r="H55" i="1"/>
  <c r="D55" i="1"/>
  <c r="G55" i="1"/>
  <c r="N58" i="4" l="1"/>
  <c r="M58" i="4"/>
  <c r="E58" i="4"/>
  <c r="K58" i="4"/>
  <c r="J58" i="4"/>
  <c r="F58" i="4"/>
  <c r="L58" i="4"/>
  <c r="D58" i="4"/>
  <c r="H58" i="4"/>
  <c r="B59" i="4"/>
  <c r="I58" i="4"/>
  <c r="G58" i="4"/>
  <c r="B60" i="3"/>
  <c r="D59" i="3"/>
  <c r="F59" i="3"/>
  <c r="E59" i="3"/>
  <c r="E56" i="1"/>
  <c r="D56" i="1"/>
  <c r="G56" i="1"/>
  <c r="H56" i="1"/>
  <c r="F56" i="1"/>
  <c r="N59" i="4" l="1"/>
  <c r="M59" i="4"/>
  <c r="E59" i="4"/>
  <c r="K59" i="4"/>
  <c r="J59" i="4"/>
  <c r="F59" i="4"/>
  <c r="H59" i="4"/>
  <c r="L59" i="4"/>
  <c r="D59" i="4"/>
  <c r="B60" i="4"/>
  <c r="I59" i="4"/>
  <c r="G59" i="4"/>
  <c r="F60" i="3"/>
  <c r="D60" i="3"/>
  <c r="E60" i="3"/>
  <c r="B61" i="3"/>
  <c r="D57" i="1"/>
  <c r="G57" i="1"/>
  <c r="H57" i="1"/>
  <c r="E57" i="1"/>
  <c r="F57" i="1"/>
  <c r="M60" i="4" l="1"/>
  <c r="N60" i="4"/>
  <c r="K60" i="4"/>
  <c r="E60" i="4"/>
  <c r="J60" i="4"/>
  <c r="F60" i="4"/>
  <c r="L60" i="4"/>
  <c r="D60" i="4"/>
  <c r="H60" i="4"/>
  <c r="G60" i="4"/>
  <c r="B61" i="4"/>
  <c r="I60" i="4"/>
  <c r="B62" i="3"/>
  <c r="D61" i="3"/>
  <c r="F61" i="3"/>
  <c r="E61" i="3"/>
  <c r="H58" i="1"/>
  <c r="F58" i="1"/>
  <c r="D58" i="1"/>
  <c r="E58" i="1"/>
  <c r="G58" i="1"/>
  <c r="N61" i="4" l="1"/>
  <c r="M61" i="4"/>
  <c r="E61" i="4"/>
  <c r="K61" i="4"/>
  <c r="F61" i="4"/>
  <c r="J61" i="4"/>
  <c r="H61" i="4"/>
  <c r="L61" i="4"/>
  <c r="D61" i="4"/>
  <c r="I61" i="4"/>
  <c r="G61" i="4"/>
  <c r="B62" i="4"/>
  <c r="F62" i="3"/>
  <c r="B63" i="3"/>
  <c r="E62" i="3"/>
  <c r="D62" i="3"/>
  <c r="D59" i="1"/>
  <c r="G59" i="1"/>
  <c r="H59" i="1"/>
  <c r="E59" i="1"/>
  <c r="F59" i="1"/>
  <c r="N62" i="4" l="1"/>
  <c r="M62" i="4"/>
  <c r="E62" i="4"/>
  <c r="K62" i="4"/>
  <c r="J62" i="4"/>
  <c r="F62" i="4"/>
  <c r="L62" i="4"/>
  <c r="D62" i="4"/>
  <c r="H62" i="4"/>
  <c r="B63" i="4"/>
  <c r="I62" i="4"/>
  <c r="G62" i="4"/>
  <c r="B64" i="3"/>
  <c r="D63" i="3"/>
  <c r="F63" i="3"/>
  <c r="E63" i="3"/>
  <c r="E60" i="1"/>
  <c r="F60" i="1"/>
  <c r="G60" i="1"/>
  <c r="H60" i="1"/>
  <c r="D60" i="1"/>
  <c r="M63" i="4" l="1"/>
  <c r="N63" i="4"/>
  <c r="E63" i="4"/>
  <c r="K63" i="4"/>
  <c r="J63" i="4"/>
  <c r="F63" i="4"/>
  <c r="H63" i="4"/>
  <c r="L63" i="4"/>
  <c r="D63" i="4"/>
  <c r="B64" i="4"/>
  <c r="G63" i="4"/>
  <c r="I63" i="4"/>
  <c r="F64" i="3"/>
  <c r="D64" i="3"/>
  <c r="E64" i="3"/>
  <c r="B65" i="3"/>
  <c r="G61" i="1"/>
  <c r="E61" i="1"/>
  <c r="H61" i="1"/>
  <c r="D61" i="1"/>
  <c r="F61" i="1"/>
  <c r="N64" i="4" l="1"/>
  <c r="M64" i="4"/>
  <c r="K64" i="4"/>
  <c r="E64" i="4"/>
  <c r="J64" i="4"/>
  <c r="F64" i="4"/>
  <c r="L64" i="4"/>
  <c r="D64" i="4"/>
  <c r="H64" i="4"/>
  <c r="G64" i="4"/>
  <c r="B65" i="4"/>
  <c r="I64" i="4"/>
  <c r="B66" i="3"/>
  <c r="D65" i="3"/>
  <c r="F65" i="3"/>
  <c r="E65" i="3"/>
  <c r="D62" i="1"/>
  <c r="F62" i="1"/>
  <c r="H62" i="1"/>
  <c r="E62" i="1"/>
  <c r="G62" i="1"/>
  <c r="N65" i="4" l="1"/>
  <c r="M65" i="4"/>
  <c r="E65" i="4"/>
  <c r="K65" i="4"/>
  <c r="F65" i="4"/>
  <c r="J65" i="4"/>
  <c r="H65" i="4"/>
  <c r="L65" i="4"/>
  <c r="D65" i="4"/>
  <c r="I65" i="4"/>
  <c r="G65" i="4"/>
  <c r="B66" i="4"/>
  <c r="F66" i="3"/>
  <c r="B67" i="3"/>
  <c r="E66" i="3"/>
  <c r="D66" i="3"/>
  <c r="D63" i="1"/>
  <c r="E63" i="1"/>
  <c r="H63" i="1"/>
  <c r="G63" i="1"/>
  <c r="F63" i="1"/>
  <c r="N66" i="4" l="1"/>
  <c r="M66" i="4"/>
  <c r="E66" i="4"/>
  <c r="K66" i="4"/>
  <c r="J66" i="4"/>
  <c r="F66" i="4"/>
  <c r="L66" i="4"/>
  <c r="D66" i="4"/>
  <c r="H66" i="4"/>
  <c r="B67" i="4"/>
  <c r="I66" i="4"/>
  <c r="G66" i="4"/>
  <c r="E67" i="3"/>
  <c r="D67" i="3"/>
  <c r="B68" i="3"/>
  <c r="F67" i="3"/>
  <c r="E64" i="1"/>
  <c r="D64" i="1"/>
  <c r="G64" i="1"/>
  <c r="H64" i="1"/>
  <c r="F64" i="1"/>
  <c r="N67" i="4" l="1"/>
  <c r="M67" i="4"/>
  <c r="E67" i="4"/>
  <c r="K67" i="4"/>
  <c r="J67" i="4"/>
  <c r="F67" i="4"/>
  <c r="H67" i="4"/>
  <c r="L67" i="4"/>
  <c r="D67" i="4"/>
  <c r="B68" i="4"/>
  <c r="I67" i="4"/>
  <c r="G67" i="4"/>
  <c r="B69" i="3"/>
  <c r="D68" i="3"/>
  <c r="E68" i="3"/>
  <c r="F68" i="3"/>
  <c r="F65" i="1"/>
  <c r="E65" i="1"/>
  <c r="H65" i="1"/>
  <c r="D65" i="1"/>
  <c r="G65" i="1"/>
  <c r="N68" i="4" l="1"/>
  <c r="M68" i="4"/>
  <c r="E68" i="4"/>
  <c r="K68" i="4"/>
  <c r="J68" i="4"/>
  <c r="F68" i="4"/>
  <c r="L68" i="4"/>
  <c r="D68" i="4"/>
  <c r="H68" i="4"/>
  <c r="G68" i="4"/>
  <c r="B69" i="4"/>
  <c r="I68" i="4"/>
  <c r="F69" i="3"/>
  <c r="E69" i="3"/>
  <c r="D69" i="3"/>
  <c r="B70" i="3"/>
  <c r="D66" i="1"/>
  <c r="F66" i="1"/>
  <c r="H66" i="1"/>
  <c r="E66" i="1"/>
  <c r="G66" i="1"/>
  <c r="N69" i="4" l="1"/>
  <c r="M69" i="4"/>
  <c r="E69" i="4"/>
  <c r="K69" i="4"/>
  <c r="F69" i="4"/>
  <c r="J69" i="4"/>
  <c r="H69" i="4"/>
  <c r="L69" i="4"/>
  <c r="D69" i="4"/>
  <c r="I69" i="4"/>
  <c r="G69" i="4"/>
  <c r="B70" i="4"/>
  <c r="B71" i="3"/>
  <c r="D70" i="3"/>
  <c r="F70" i="3"/>
  <c r="E70" i="3"/>
  <c r="F67" i="1"/>
  <c r="E67" i="1"/>
  <c r="H67" i="1"/>
  <c r="D67" i="1"/>
  <c r="G67" i="1"/>
  <c r="N70" i="4" l="1"/>
  <c r="M70" i="4"/>
  <c r="E70" i="4"/>
  <c r="K70" i="4"/>
  <c r="J70" i="4"/>
  <c r="F70" i="4"/>
  <c r="L70" i="4"/>
  <c r="D70" i="4"/>
  <c r="H70" i="4"/>
  <c r="B71" i="4"/>
  <c r="I70" i="4"/>
  <c r="G70" i="4"/>
  <c r="F71" i="3"/>
  <c r="E71" i="3"/>
  <c r="D71" i="3"/>
  <c r="B72" i="3"/>
  <c r="G68" i="1"/>
  <c r="H68" i="1"/>
  <c r="F68" i="1"/>
  <c r="E68" i="1"/>
  <c r="D68" i="1"/>
  <c r="M71" i="4" l="1"/>
  <c r="N71" i="4"/>
  <c r="E71" i="4"/>
  <c r="K71" i="4"/>
  <c r="J71" i="4"/>
  <c r="F71" i="4"/>
  <c r="H71" i="4"/>
  <c r="L71" i="4"/>
  <c r="D71" i="4"/>
  <c r="B72" i="4"/>
  <c r="I71" i="4"/>
  <c r="G71" i="4"/>
  <c r="B73" i="3"/>
  <c r="D72" i="3"/>
  <c r="E72" i="3"/>
  <c r="F72" i="3"/>
  <c r="D69" i="1"/>
  <c r="H69" i="1"/>
  <c r="G69" i="1"/>
  <c r="F69" i="1"/>
  <c r="E69" i="1"/>
  <c r="N72" i="4" l="1"/>
  <c r="M72" i="4"/>
  <c r="K72" i="4"/>
  <c r="E72" i="4"/>
  <c r="J72" i="4"/>
  <c r="F72" i="4"/>
  <c r="L72" i="4"/>
  <c r="D72" i="4"/>
  <c r="H72" i="4"/>
  <c r="G72" i="4"/>
  <c r="B73" i="4"/>
  <c r="I72" i="4"/>
  <c r="F73" i="3"/>
  <c r="E73" i="3"/>
  <c r="B74" i="3"/>
  <c r="D73" i="3"/>
  <c r="E70" i="1"/>
  <c r="G70" i="1"/>
  <c r="D70" i="1"/>
  <c r="H70" i="1"/>
  <c r="F70" i="1"/>
  <c r="N73" i="4" l="1"/>
  <c r="M73" i="4"/>
  <c r="E73" i="4"/>
  <c r="K73" i="4"/>
  <c r="J73" i="4"/>
  <c r="F73" i="4"/>
  <c r="H73" i="4"/>
  <c r="L73" i="4"/>
  <c r="D73" i="4"/>
  <c r="I73" i="4"/>
  <c r="G73" i="4"/>
  <c r="B74" i="4"/>
  <c r="B75" i="3"/>
  <c r="D74" i="3"/>
  <c r="E74" i="3"/>
  <c r="F74" i="3"/>
  <c r="G71" i="1"/>
  <c r="H71" i="1"/>
  <c r="D71" i="1"/>
  <c r="E71" i="1"/>
  <c r="F71" i="1"/>
  <c r="N74" i="4" l="1"/>
  <c r="M74" i="4"/>
  <c r="E74" i="4"/>
  <c r="K74" i="4"/>
  <c r="J74" i="4"/>
  <c r="F74" i="4"/>
  <c r="L74" i="4"/>
  <c r="D74" i="4"/>
  <c r="H74" i="4"/>
  <c r="B75" i="4"/>
  <c r="I74" i="4"/>
  <c r="G74" i="4"/>
  <c r="F75" i="3"/>
  <c r="E75" i="3"/>
  <c r="B76" i="3"/>
  <c r="D75" i="3"/>
  <c r="D72" i="1"/>
  <c r="G72" i="1"/>
  <c r="F72" i="1"/>
  <c r="H72" i="1"/>
  <c r="E72" i="1"/>
  <c r="N75" i="4" l="1"/>
  <c r="M75" i="4"/>
  <c r="E75" i="4"/>
  <c r="K75" i="4"/>
  <c r="J75" i="4"/>
  <c r="F75" i="4"/>
  <c r="H75" i="4"/>
  <c r="L75" i="4"/>
  <c r="D75" i="4"/>
  <c r="B76" i="4"/>
  <c r="I75" i="4"/>
  <c r="G75" i="4"/>
  <c r="B77" i="3"/>
  <c r="D76" i="3"/>
  <c r="E76" i="3"/>
  <c r="F76" i="3"/>
  <c r="G73" i="1"/>
  <c r="E73" i="1"/>
  <c r="F73" i="1"/>
  <c r="D73" i="1"/>
  <c r="H73" i="1"/>
  <c r="N76" i="4" l="1"/>
  <c r="M76" i="4"/>
  <c r="K76" i="4"/>
  <c r="E76" i="4"/>
  <c r="J76" i="4"/>
  <c r="F76" i="4"/>
  <c r="L76" i="4"/>
  <c r="D76" i="4"/>
  <c r="H76" i="4"/>
  <c r="G76" i="4"/>
  <c r="B77" i="4"/>
  <c r="I76" i="4"/>
  <c r="F77" i="3"/>
  <c r="E77" i="3"/>
  <c r="D77" i="3"/>
  <c r="B78" i="3"/>
  <c r="G74" i="1"/>
  <c r="E74" i="1"/>
  <c r="H74" i="1"/>
  <c r="F74" i="1"/>
  <c r="D74" i="1"/>
  <c r="N77" i="4" l="1"/>
  <c r="M77" i="4"/>
  <c r="E77" i="4"/>
  <c r="F77" i="4"/>
  <c r="K77" i="4"/>
  <c r="J77" i="4"/>
  <c r="H77" i="4"/>
  <c r="L77" i="4"/>
  <c r="D77" i="4"/>
  <c r="I77" i="4"/>
  <c r="G77" i="4"/>
  <c r="B78" i="4"/>
  <c r="B79" i="3"/>
  <c r="D78" i="3"/>
  <c r="F78" i="3"/>
  <c r="E78" i="3"/>
  <c r="D75" i="1"/>
  <c r="E75" i="1"/>
  <c r="F75" i="1"/>
  <c r="G75" i="1"/>
  <c r="H75" i="1"/>
  <c r="N78" i="4" l="1"/>
  <c r="M78" i="4"/>
  <c r="E78" i="4"/>
  <c r="K78" i="4"/>
  <c r="J78" i="4"/>
  <c r="F78" i="4"/>
  <c r="L78" i="4"/>
  <c r="D78" i="4"/>
  <c r="H78" i="4"/>
  <c r="B79" i="4"/>
  <c r="I78" i="4"/>
  <c r="G78" i="4"/>
  <c r="F79" i="3"/>
  <c r="E79" i="3"/>
  <c r="D79" i="3"/>
  <c r="B80" i="3"/>
  <c r="D76" i="1"/>
  <c r="H76" i="1"/>
  <c r="E76" i="1"/>
  <c r="F76" i="1"/>
  <c r="G76" i="1"/>
  <c r="M79" i="4" l="1"/>
  <c r="N79" i="4"/>
  <c r="E79" i="4"/>
  <c r="K79" i="4"/>
  <c r="J79" i="4"/>
  <c r="F79" i="4"/>
  <c r="H79" i="4"/>
  <c r="L79" i="4"/>
  <c r="D79" i="4"/>
  <c r="B80" i="4"/>
  <c r="I79" i="4"/>
  <c r="G79" i="4"/>
  <c r="B81" i="3"/>
  <c r="D80" i="3"/>
  <c r="E80" i="3"/>
  <c r="F80" i="3"/>
  <c r="D77" i="1"/>
  <c r="F77" i="1"/>
  <c r="E77" i="1"/>
  <c r="G77" i="1"/>
  <c r="H77" i="1"/>
  <c r="N80" i="4" l="1"/>
  <c r="M80" i="4"/>
  <c r="K80" i="4"/>
  <c r="E80" i="4"/>
  <c r="J80" i="4"/>
  <c r="F80" i="4"/>
  <c r="L80" i="4"/>
  <c r="D80" i="4"/>
  <c r="H80" i="4"/>
  <c r="G80" i="4"/>
  <c r="B81" i="4"/>
  <c r="I80" i="4"/>
  <c r="F81" i="3"/>
  <c r="E81" i="3"/>
  <c r="B82" i="3"/>
  <c r="D81" i="3"/>
  <c r="D78" i="1"/>
  <c r="E78" i="1"/>
  <c r="G78" i="1"/>
  <c r="F78" i="1"/>
  <c r="H78" i="1"/>
  <c r="N81" i="4" l="1"/>
  <c r="M81" i="4"/>
  <c r="E81" i="4"/>
  <c r="K81" i="4"/>
  <c r="F81" i="4"/>
  <c r="J81" i="4"/>
  <c r="H81" i="4"/>
  <c r="L81" i="4"/>
  <c r="D81" i="4"/>
  <c r="I81" i="4"/>
  <c r="G81" i="4"/>
  <c r="B82" i="4"/>
  <c r="B83" i="3"/>
  <c r="D82" i="3"/>
  <c r="E82" i="3"/>
  <c r="F82" i="3"/>
  <c r="D79" i="1"/>
  <c r="E79" i="1"/>
  <c r="H79" i="1"/>
  <c r="G79" i="1"/>
  <c r="F79" i="1"/>
  <c r="N82" i="4" l="1"/>
  <c r="M82" i="4"/>
  <c r="E82" i="4"/>
  <c r="K82" i="4"/>
  <c r="J82" i="4"/>
  <c r="F82" i="4"/>
  <c r="L82" i="4"/>
  <c r="D82" i="4"/>
  <c r="H82" i="4"/>
  <c r="B83" i="4"/>
  <c r="I82" i="4"/>
  <c r="G82" i="4"/>
  <c r="F83" i="3"/>
  <c r="E83" i="3"/>
  <c r="B84" i="3"/>
  <c r="D83" i="3"/>
  <c r="G80" i="1"/>
  <c r="H80" i="1"/>
  <c r="D80" i="1"/>
  <c r="E80" i="1"/>
  <c r="F80" i="1"/>
  <c r="N83" i="4" l="1"/>
  <c r="M83" i="4"/>
  <c r="E83" i="4"/>
  <c r="K83" i="4"/>
  <c r="J83" i="4"/>
  <c r="F83" i="4"/>
  <c r="H83" i="4"/>
  <c r="L83" i="4"/>
  <c r="D83" i="4"/>
  <c r="B84" i="4"/>
  <c r="I83" i="4"/>
  <c r="G83" i="4"/>
  <c r="B85" i="3"/>
  <c r="D84" i="3"/>
  <c r="E84" i="3"/>
  <c r="F84" i="3"/>
  <c r="E81" i="1"/>
  <c r="F81" i="1"/>
  <c r="D81" i="1"/>
  <c r="G81" i="1"/>
  <c r="H81" i="1"/>
  <c r="N84" i="4" l="1"/>
  <c r="M84" i="4"/>
  <c r="E84" i="4"/>
  <c r="K84" i="4"/>
  <c r="J84" i="4"/>
  <c r="F84" i="4"/>
  <c r="L84" i="4"/>
  <c r="D84" i="4"/>
  <c r="H84" i="4"/>
  <c r="G84" i="4"/>
  <c r="I84" i="4"/>
  <c r="B85" i="4"/>
  <c r="F85" i="3"/>
  <c r="E85" i="3"/>
  <c r="D85" i="3"/>
  <c r="B86" i="3"/>
  <c r="G82" i="1"/>
  <c r="F82" i="1"/>
  <c r="H82" i="1"/>
  <c r="E82" i="1"/>
  <c r="D82" i="1"/>
  <c r="N85" i="4" l="1"/>
  <c r="M85" i="4"/>
  <c r="E85" i="4"/>
  <c r="K85" i="4"/>
  <c r="F85" i="4"/>
  <c r="J85" i="4"/>
  <c r="H85" i="4"/>
  <c r="L85" i="4"/>
  <c r="D85" i="4"/>
  <c r="I85" i="4"/>
  <c r="G85" i="4"/>
  <c r="B86" i="4"/>
  <c r="B87" i="3"/>
  <c r="D86" i="3"/>
  <c r="F86" i="3"/>
  <c r="E86" i="3"/>
  <c r="G83" i="1"/>
  <c r="E83" i="1"/>
  <c r="F83" i="1"/>
  <c r="D83" i="1"/>
  <c r="H83" i="1"/>
  <c r="N86" i="4" l="1"/>
  <c r="M86" i="4"/>
  <c r="E86" i="4"/>
  <c r="K86" i="4"/>
  <c r="J86" i="4"/>
  <c r="F86" i="4"/>
  <c r="L86" i="4"/>
  <c r="D86" i="4"/>
  <c r="H86" i="4"/>
  <c r="B87" i="4"/>
  <c r="I86" i="4"/>
  <c r="G86" i="4"/>
  <c r="F87" i="3"/>
  <c r="E87" i="3"/>
  <c r="D87" i="3"/>
  <c r="B88" i="3"/>
  <c r="D84" i="1"/>
  <c r="H84" i="1"/>
  <c r="E84" i="1"/>
  <c r="F84" i="1"/>
  <c r="G84" i="1"/>
  <c r="M87" i="4" l="1"/>
  <c r="N87" i="4"/>
  <c r="E87" i="4"/>
  <c r="K87" i="4"/>
  <c r="J87" i="4"/>
  <c r="F87" i="4"/>
  <c r="H87" i="4"/>
  <c r="L87" i="4"/>
  <c r="D87" i="4"/>
  <c r="B88" i="4"/>
  <c r="I87" i="4"/>
  <c r="G87" i="4"/>
  <c r="B89" i="3"/>
  <c r="D88" i="3"/>
  <c r="E88" i="3"/>
  <c r="F88" i="3"/>
  <c r="G85" i="1"/>
  <c r="D85" i="1"/>
  <c r="E85" i="1"/>
  <c r="F85" i="1"/>
  <c r="H85" i="1"/>
  <c r="N88" i="4" l="1"/>
  <c r="M88" i="4"/>
  <c r="K88" i="4"/>
  <c r="E88" i="4"/>
  <c r="J88" i="4"/>
  <c r="F88" i="4"/>
  <c r="L88" i="4"/>
  <c r="D88" i="4"/>
  <c r="H88" i="4"/>
  <c r="G88" i="4"/>
  <c r="B89" i="4"/>
  <c r="I88" i="4"/>
  <c r="F89" i="3"/>
  <c r="E89" i="3"/>
  <c r="B90" i="3"/>
  <c r="D89" i="3"/>
  <c r="D86" i="1"/>
  <c r="E86" i="1"/>
  <c r="G86" i="1"/>
  <c r="F86" i="1"/>
  <c r="H86" i="1"/>
  <c r="N89" i="4" l="1"/>
  <c r="M89" i="4"/>
  <c r="E89" i="4"/>
  <c r="K89" i="4"/>
  <c r="J89" i="4"/>
  <c r="F89" i="4"/>
  <c r="H89" i="4"/>
  <c r="L89" i="4"/>
  <c r="D89" i="4"/>
  <c r="I89" i="4"/>
  <c r="G89" i="4"/>
  <c r="B90" i="4"/>
  <c r="B91" i="3"/>
  <c r="D90" i="3"/>
  <c r="E90" i="3"/>
  <c r="F90" i="3"/>
  <c r="G87" i="1"/>
  <c r="D87" i="1"/>
  <c r="H87" i="1"/>
  <c r="E87" i="1"/>
  <c r="F87" i="1"/>
  <c r="N90" i="4" l="1"/>
  <c r="M90" i="4"/>
  <c r="E90" i="4"/>
  <c r="K90" i="4"/>
  <c r="J90" i="4"/>
  <c r="F90" i="4"/>
  <c r="L90" i="4"/>
  <c r="D90" i="4"/>
  <c r="H90" i="4"/>
  <c r="B91" i="4"/>
  <c r="I90" i="4"/>
  <c r="G90" i="4"/>
  <c r="F91" i="3"/>
  <c r="E91" i="3"/>
  <c r="B92" i="3"/>
  <c r="D91" i="3"/>
  <c r="D88" i="1"/>
  <c r="H88" i="1"/>
  <c r="E88" i="1"/>
  <c r="G88" i="1"/>
  <c r="F88" i="1"/>
  <c r="N91" i="4" l="1"/>
  <c r="M91" i="4"/>
  <c r="E91" i="4"/>
  <c r="K91" i="4"/>
  <c r="J91" i="4"/>
  <c r="F91" i="4"/>
  <c r="H91" i="4"/>
  <c r="L91" i="4"/>
  <c r="D91" i="4"/>
  <c r="B92" i="4"/>
  <c r="I91" i="4"/>
  <c r="G91" i="4"/>
  <c r="B93" i="3"/>
  <c r="D92" i="3"/>
  <c r="E92" i="3"/>
  <c r="F92" i="3"/>
  <c r="E89" i="1"/>
  <c r="F89" i="1"/>
  <c r="H89" i="1"/>
  <c r="D89" i="1"/>
  <c r="G89" i="1"/>
  <c r="M92" i="4" l="1"/>
  <c r="N92" i="4"/>
  <c r="K92" i="4"/>
  <c r="E92" i="4"/>
  <c r="J92" i="4"/>
  <c r="F92" i="4"/>
  <c r="L92" i="4"/>
  <c r="D92" i="4"/>
  <c r="H92" i="4"/>
  <c r="G92" i="4"/>
  <c r="B93" i="4"/>
  <c r="I92" i="4"/>
  <c r="F93" i="3"/>
  <c r="E93" i="3"/>
  <c r="D93" i="3"/>
  <c r="B94" i="3"/>
  <c r="E90" i="1"/>
  <c r="H90" i="1"/>
  <c r="D90" i="1"/>
  <c r="G90" i="1"/>
  <c r="F90" i="1"/>
  <c r="N93" i="4" l="1"/>
  <c r="M93" i="4"/>
  <c r="E93" i="4"/>
  <c r="K93" i="4"/>
  <c r="F93" i="4"/>
  <c r="J93" i="4"/>
  <c r="H93" i="4"/>
  <c r="L93" i="4"/>
  <c r="D93" i="4"/>
  <c r="I93" i="4"/>
  <c r="G93" i="4"/>
  <c r="B94" i="4"/>
  <c r="B95" i="3"/>
  <c r="D94" i="3"/>
  <c r="F94" i="3"/>
  <c r="E94" i="3"/>
  <c r="H91" i="1"/>
  <c r="F91" i="1"/>
  <c r="G91" i="1"/>
  <c r="D91" i="1"/>
  <c r="E91" i="1"/>
  <c r="N94" i="4" l="1"/>
  <c r="M94" i="4"/>
  <c r="E94" i="4"/>
  <c r="K94" i="4"/>
  <c r="J94" i="4"/>
  <c r="F94" i="4"/>
  <c r="L94" i="4"/>
  <c r="D94" i="4"/>
  <c r="H94" i="4"/>
  <c r="B95" i="4"/>
  <c r="I94" i="4"/>
  <c r="G94" i="4"/>
  <c r="F95" i="3"/>
  <c r="E95" i="3"/>
  <c r="D95" i="3"/>
  <c r="B96" i="3"/>
  <c r="H92" i="1"/>
  <c r="E92" i="1"/>
  <c r="D92" i="1"/>
  <c r="G92" i="1"/>
  <c r="F92" i="1"/>
  <c r="M95" i="4" l="1"/>
  <c r="N95" i="4"/>
  <c r="E95" i="4"/>
  <c r="K95" i="4"/>
  <c r="J95" i="4"/>
  <c r="F95" i="4"/>
  <c r="H95" i="4"/>
  <c r="L95" i="4"/>
  <c r="D95" i="4"/>
  <c r="B96" i="4"/>
  <c r="I95" i="4"/>
  <c r="G95" i="4"/>
  <c r="B97" i="3"/>
  <c r="D96" i="3"/>
  <c r="E96" i="3"/>
  <c r="F96" i="3"/>
  <c r="E93" i="1"/>
  <c r="F93" i="1"/>
  <c r="H93" i="1"/>
  <c r="D93" i="1"/>
  <c r="G93" i="1"/>
  <c r="N96" i="4" l="1"/>
  <c r="M96" i="4"/>
  <c r="K96" i="4"/>
  <c r="E96" i="4"/>
  <c r="J96" i="4"/>
  <c r="F96" i="4"/>
  <c r="L96" i="4"/>
  <c r="D96" i="4"/>
  <c r="H96" i="4"/>
  <c r="G96" i="4"/>
  <c r="B97" i="4"/>
  <c r="I96" i="4"/>
  <c r="F97" i="3"/>
  <c r="E97" i="3"/>
  <c r="B98" i="3"/>
  <c r="D97" i="3"/>
  <c r="H94" i="1"/>
  <c r="E94" i="1"/>
  <c r="F94" i="1"/>
  <c r="G94" i="1"/>
  <c r="D94" i="1"/>
  <c r="N97" i="4" l="1"/>
  <c r="M97" i="4"/>
  <c r="E97" i="4"/>
  <c r="K97" i="4"/>
  <c r="J97" i="4"/>
  <c r="F97" i="4"/>
  <c r="H97" i="4"/>
  <c r="L97" i="4"/>
  <c r="D97" i="4"/>
  <c r="B98" i="4"/>
  <c r="I97" i="4"/>
  <c r="G97" i="4"/>
  <c r="B99" i="3"/>
  <c r="D98" i="3"/>
  <c r="E98" i="3"/>
  <c r="F98" i="3"/>
  <c r="D95" i="1"/>
  <c r="H95" i="1"/>
  <c r="F95" i="1"/>
  <c r="E95" i="1"/>
  <c r="G95" i="1"/>
  <c r="N98" i="4" l="1"/>
  <c r="M98" i="4"/>
  <c r="E98" i="4"/>
  <c r="K98" i="4"/>
  <c r="J98" i="4"/>
  <c r="F98" i="4"/>
  <c r="L98" i="4"/>
  <c r="D98" i="4"/>
  <c r="H98" i="4"/>
  <c r="B99" i="4"/>
  <c r="I98" i="4"/>
  <c r="G98" i="4"/>
  <c r="F99" i="3"/>
  <c r="E99" i="3"/>
  <c r="B100" i="3"/>
  <c r="D99" i="3"/>
  <c r="H96" i="1"/>
  <c r="E96" i="1"/>
  <c r="F96" i="1"/>
  <c r="G96" i="1"/>
  <c r="D96" i="1"/>
  <c r="N99" i="4" l="1"/>
  <c r="M99" i="4"/>
  <c r="E99" i="4"/>
  <c r="K99" i="4"/>
  <c r="J99" i="4"/>
  <c r="F99" i="4"/>
  <c r="H99" i="4"/>
  <c r="L99" i="4"/>
  <c r="D99" i="4"/>
  <c r="G99" i="4"/>
  <c r="B100" i="4"/>
  <c r="I99" i="4"/>
  <c r="B101" i="3"/>
  <c r="D100" i="3"/>
  <c r="E100" i="3"/>
  <c r="F100" i="3"/>
  <c r="H97" i="1"/>
  <c r="F97" i="1"/>
  <c r="E97" i="1"/>
  <c r="D97" i="1"/>
  <c r="G97" i="1"/>
  <c r="N100" i="4" l="1"/>
  <c r="M100" i="4"/>
  <c r="E100" i="4"/>
  <c r="K100" i="4"/>
  <c r="J100" i="4"/>
  <c r="F100" i="4"/>
  <c r="L100" i="4"/>
  <c r="D100" i="4"/>
  <c r="H100" i="4"/>
  <c r="I100" i="4"/>
  <c r="G100" i="4"/>
  <c r="B101" i="4"/>
  <c r="F101" i="3"/>
  <c r="E101" i="3"/>
  <c r="D101" i="3"/>
  <c r="B102" i="3"/>
  <c r="H98" i="1"/>
  <c r="G98" i="1"/>
  <c r="D98" i="1"/>
  <c r="E98" i="1"/>
  <c r="F98" i="1"/>
  <c r="N101" i="4" l="1"/>
  <c r="M101" i="4"/>
  <c r="E101" i="4"/>
  <c r="K101" i="4"/>
  <c r="F101" i="4"/>
  <c r="J101" i="4"/>
  <c r="H101" i="4"/>
  <c r="L101" i="4"/>
  <c r="D101" i="4"/>
  <c r="B102" i="4"/>
  <c r="I101" i="4"/>
  <c r="G101" i="4"/>
  <c r="B103" i="3"/>
  <c r="D102" i="3"/>
  <c r="F102" i="3"/>
  <c r="E102" i="3"/>
  <c r="H99" i="1"/>
  <c r="F99" i="1"/>
  <c r="E99" i="1"/>
  <c r="D99" i="1"/>
  <c r="G99" i="1"/>
  <c r="N102" i="4" l="1"/>
  <c r="M102" i="4"/>
  <c r="E102" i="4"/>
  <c r="K102" i="4"/>
  <c r="J102" i="4"/>
  <c r="F102" i="4"/>
  <c r="L102" i="4"/>
  <c r="D102" i="4"/>
  <c r="H102" i="4"/>
  <c r="B103" i="4"/>
  <c r="I102" i="4"/>
  <c r="G102" i="4"/>
  <c r="F103" i="3"/>
  <c r="E103" i="3"/>
  <c r="D103" i="3"/>
  <c r="B104" i="3"/>
  <c r="E100" i="1"/>
  <c r="H100" i="1"/>
  <c r="F100" i="1"/>
  <c r="D100" i="1"/>
  <c r="G100" i="1"/>
  <c r="N103" i="4" l="1"/>
  <c r="M103" i="4"/>
  <c r="E103" i="4"/>
  <c r="K103" i="4"/>
  <c r="J103" i="4"/>
  <c r="F103" i="4"/>
  <c r="H103" i="4"/>
  <c r="L103" i="4"/>
  <c r="D103" i="4"/>
  <c r="G103" i="4"/>
  <c r="B104" i="4"/>
  <c r="I103" i="4"/>
  <c r="B105" i="3"/>
  <c r="D104" i="3"/>
  <c r="E104" i="3"/>
  <c r="F104" i="3"/>
  <c r="H101" i="1"/>
  <c r="F101" i="1"/>
  <c r="E101" i="1"/>
  <c r="D101" i="1"/>
  <c r="G101" i="1"/>
  <c r="N104" i="4" l="1"/>
  <c r="M104" i="4"/>
  <c r="K104" i="4"/>
  <c r="J104" i="4"/>
  <c r="E104" i="4"/>
  <c r="F104" i="4"/>
  <c r="L104" i="4"/>
  <c r="D104" i="4"/>
  <c r="H104" i="4"/>
  <c r="I104" i="4"/>
  <c r="G104" i="4"/>
  <c r="B105" i="4"/>
  <c r="F105" i="3"/>
  <c r="E105" i="3"/>
  <c r="B106" i="3"/>
  <c r="D105" i="3"/>
  <c r="E102" i="1"/>
  <c r="H102" i="1"/>
  <c r="D102" i="1"/>
  <c r="G102" i="1"/>
  <c r="F102" i="1"/>
  <c r="N105" i="4" l="1"/>
  <c r="M105" i="4"/>
  <c r="E105" i="4"/>
  <c r="K105" i="4"/>
  <c r="J105" i="4"/>
  <c r="F105" i="4"/>
  <c r="H105" i="4"/>
  <c r="L105" i="4"/>
  <c r="D105" i="4"/>
  <c r="B106" i="4"/>
  <c r="I105" i="4"/>
  <c r="G105" i="4"/>
  <c r="B107" i="3"/>
  <c r="D106" i="3"/>
  <c r="E106" i="3"/>
  <c r="F106" i="3"/>
  <c r="H103" i="1"/>
  <c r="F103" i="1"/>
  <c r="G103" i="1"/>
  <c r="D103" i="1"/>
  <c r="E103" i="1"/>
  <c r="N106" i="4" l="1"/>
  <c r="M106" i="4"/>
  <c r="E106" i="4"/>
  <c r="K106" i="4"/>
  <c r="J106" i="4"/>
  <c r="F106" i="4"/>
  <c r="L106" i="4"/>
  <c r="D106" i="4"/>
  <c r="H106" i="4"/>
  <c r="B107" i="4"/>
  <c r="I106" i="4"/>
  <c r="G106" i="4"/>
  <c r="F107" i="3"/>
  <c r="E107" i="3"/>
  <c r="B108" i="3"/>
  <c r="D107" i="3"/>
  <c r="E104" i="1"/>
  <c r="H104" i="1"/>
  <c r="F104" i="1"/>
  <c r="G104" i="1"/>
  <c r="D104" i="1"/>
  <c r="N107" i="4" l="1"/>
  <c r="M107" i="4"/>
  <c r="E107" i="4"/>
  <c r="K107" i="4"/>
  <c r="J107" i="4"/>
  <c r="F107" i="4"/>
  <c r="H107" i="4"/>
  <c r="L107" i="4"/>
  <c r="D107" i="4"/>
  <c r="G107" i="4"/>
  <c r="B108" i="4"/>
  <c r="I107" i="4"/>
  <c r="B109" i="3"/>
  <c r="D108" i="3"/>
  <c r="E108" i="3"/>
  <c r="F108" i="3"/>
  <c r="H105" i="1"/>
  <c r="F105" i="1"/>
  <c r="E105" i="1"/>
  <c r="D105" i="1"/>
  <c r="G105" i="1"/>
  <c r="M108" i="4" l="1"/>
  <c r="N108" i="4"/>
  <c r="K108" i="4"/>
  <c r="E108" i="4"/>
  <c r="J108" i="4"/>
  <c r="F108" i="4"/>
  <c r="L108" i="4"/>
  <c r="D108" i="4"/>
  <c r="H108" i="4"/>
  <c r="I108" i="4"/>
  <c r="G108" i="4"/>
  <c r="B109" i="4"/>
  <c r="F109" i="3"/>
  <c r="E109" i="3"/>
  <c r="D109" i="3"/>
  <c r="B110" i="3"/>
  <c r="E106" i="1"/>
  <c r="H106" i="1"/>
  <c r="F106" i="1"/>
  <c r="G106" i="1"/>
  <c r="D106" i="1"/>
  <c r="N109" i="4" l="1"/>
  <c r="M109" i="4"/>
  <c r="E109" i="4"/>
  <c r="F109" i="4"/>
  <c r="K109" i="4"/>
  <c r="J109" i="4"/>
  <c r="H109" i="4"/>
  <c r="L109" i="4"/>
  <c r="D109" i="4"/>
  <c r="B110" i="4"/>
  <c r="I109" i="4"/>
  <c r="G109" i="4"/>
  <c r="B111" i="3"/>
  <c r="D110" i="3"/>
  <c r="F110" i="3"/>
  <c r="E110" i="3"/>
  <c r="E107" i="1"/>
  <c r="F107" i="1"/>
  <c r="H107" i="1"/>
  <c r="D107" i="1"/>
  <c r="G107" i="1"/>
  <c r="N110" i="4" l="1"/>
  <c r="M110" i="4"/>
  <c r="E110" i="4"/>
  <c r="K110" i="4"/>
  <c r="J110" i="4"/>
  <c r="F110" i="4"/>
  <c r="L110" i="4"/>
  <c r="D110" i="4"/>
  <c r="H110" i="4"/>
  <c r="B111" i="4"/>
  <c r="I110" i="4"/>
  <c r="G110" i="4"/>
  <c r="F111" i="3"/>
  <c r="E111" i="3"/>
  <c r="D111" i="3"/>
  <c r="B112" i="3"/>
  <c r="E108" i="1"/>
  <c r="F108" i="1"/>
  <c r="G108" i="1"/>
  <c r="H108" i="1"/>
  <c r="D108" i="1"/>
  <c r="M111" i="4" l="1"/>
  <c r="N111" i="4"/>
  <c r="E111" i="4"/>
  <c r="K111" i="4"/>
  <c r="J111" i="4"/>
  <c r="F111" i="4"/>
  <c r="H111" i="4"/>
  <c r="L111" i="4"/>
  <c r="D111" i="4"/>
  <c r="G111" i="4"/>
  <c r="B112" i="4"/>
  <c r="I111" i="4"/>
  <c r="B113" i="3"/>
  <c r="D112" i="3"/>
  <c r="E112" i="3"/>
  <c r="F112" i="3"/>
  <c r="G109" i="1"/>
  <c r="E109" i="1"/>
  <c r="D109" i="1"/>
  <c r="H109" i="1"/>
  <c r="F109" i="1"/>
  <c r="N112" i="4" l="1"/>
  <c r="M112" i="4"/>
  <c r="K112" i="4"/>
  <c r="E112" i="4"/>
  <c r="J112" i="4"/>
  <c r="F112" i="4"/>
  <c r="L112" i="4"/>
  <c r="D112" i="4"/>
  <c r="H112" i="4"/>
  <c r="I112" i="4"/>
  <c r="G112" i="4"/>
  <c r="B113" i="4"/>
  <c r="F113" i="3"/>
  <c r="E113" i="3"/>
  <c r="B114" i="3"/>
  <c r="D113" i="3"/>
  <c r="E110" i="1"/>
  <c r="D110" i="1"/>
  <c r="F110" i="1"/>
  <c r="H110" i="1"/>
  <c r="G110" i="1"/>
  <c r="N113" i="4" l="1"/>
  <c r="M113" i="4"/>
  <c r="E113" i="4"/>
  <c r="K113" i="4"/>
  <c r="J113" i="4"/>
  <c r="F113" i="4"/>
  <c r="H113" i="4"/>
  <c r="L113" i="4"/>
  <c r="D113" i="4"/>
  <c r="B114" i="4"/>
  <c r="I113" i="4"/>
  <c r="G113" i="4"/>
  <c r="B115" i="3"/>
  <c r="D114" i="3"/>
  <c r="E114" i="3"/>
  <c r="F114" i="3"/>
  <c r="F111" i="1"/>
  <c r="E111" i="1"/>
  <c r="D111" i="1"/>
  <c r="H111" i="1"/>
  <c r="G111" i="1"/>
  <c r="N114" i="4" l="1"/>
  <c r="M114" i="4"/>
  <c r="E114" i="4"/>
  <c r="K114" i="4"/>
  <c r="J114" i="4"/>
  <c r="F114" i="4"/>
  <c r="B115" i="4"/>
  <c r="G114" i="4"/>
  <c r="L114" i="4"/>
  <c r="D114" i="4"/>
  <c r="H114" i="4"/>
  <c r="I114" i="4"/>
  <c r="F115" i="3"/>
  <c r="E115" i="3"/>
  <c r="B116" i="3"/>
  <c r="D115" i="3"/>
  <c r="H112" i="1"/>
  <c r="E112" i="1"/>
  <c r="D112" i="1"/>
  <c r="G112" i="1"/>
  <c r="F112" i="1"/>
  <c r="N115" i="4" l="1"/>
  <c r="M115" i="4"/>
  <c r="E115" i="4"/>
  <c r="K115" i="4"/>
  <c r="J115" i="4"/>
  <c r="F115" i="4"/>
  <c r="I115" i="4"/>
  <c r="H115" i="4"/>
  <c r="L115" i="4"/>
  <c r="D115" i="4"/>
  <c r="B116" i="4"/>
  <c r="G115" i="4"/>
  <c r="B117" i="3"/>
  <c r="D116" i="3"/>
  <c r="E116" i="3"/>
  <c r="F116" i="3"/>
  <c r="H113" i="1"/>
  <c r="D113" i="1"/>
  <c r="F113" i="1"/>
  <c r="G113" i="1"/>
  <c r="E113" i="1"/>
  <c r="N116" i="4" l="1"/>
  <c r="M116" i="4"/>
  <c r="E116" i="4"/>
  <c r="K116" i="4"/>
  <c r="J116" i="4"/>
  <c r="F116" i="4"/>
  <c r="B117" i="4"/>
  <c r="G116" i="4"/>
  <c r="L116" i="4"/>
  <c r="D116" i="4"/>
  <c r="H116" i="4"/>
  <c r="I116" i="4"/>
  <c r="F117" i="3"/>
  <c r="E117" i="3"/>
  <c r="D117" i="3"/>
  <c r="B118" i="3"/>
  <c r="F114" i="1"/>
  <c r="G114" i="1"/>
  <c r="E114" i="1"/>
  <c r="H114" i="1"/>
  <c r="D114" i="1"/>
  <c r="N117" i="4" l="1"/>
  <c r="M117" i="4"/>
  <c r="E117" i="4"/>
  <c r="K117" i="4"/>
  <c r="F117" i="4"/>
  <c r="J117" i="4"/>
  <c r="I117" i="4"/>
  <c r="H117" i="4"/>
  <c r="L117" i="4"/>
  <c r="D117" i="4"/>
  <c r="B118" i="4"/>
  <c r="G117" i="4"/>
  <c r="B119" i="3"/>
  <c r="D118" i="3"/>
  <c r="F118" i="3"/>
  <c r="E118" i="3"/>
  <c r="F115" i="1"/>
  <c r="E115" i="1"/>
  <c r="D115" i="1"/>
  <c r="H115" i="1"/>
  <c r="G115" i="1"/>
  <c r="N118" i="4" l="1"/>
  <c r="M118" i="4"/>
  <c r="E118" i="4"/>
  <c r="K118" i="4"/>
  <c r="J118" i="4"/>
  <c r="F118" i="4"/>
  <c r="B119" i="4"/>
  <c r="G118" i="4"/>
  <c r="L118" i="4"/>
  <c r="D118" i="4"/>
  <c r="H118" i="4"/>
  <c r="I118" i="4"/>
  <c r="F119" i="3"/>
  <c r="E119" i="3"/>
  <c r="D119" i="3"/>
  <c r="B120" i="3"/>
  <c r="H116" i="1"/>
  <c r="E116" i="1"/>
  <c r="D116" i="1"/>
  <c r="G116" i="1"/>
  <c r="F116" i="1"/>
  <c r="N119" i="4" l="1"/>
  <c r="M119" i="4"/>
  <c r="E119" i="4"/>
  <c r="K119" i="4"/>
  <c r="J119" i="4"/>
  <c r="F119" i="4"/>
  <c r="I119" i="4"/>
  <c r="H119" i="4"/>
  <c r="L119" i="4"/>
  <c r="D119" i="4"/>
  <c r="G119" i="4"/>
  <c r="B120" i="4"/>
  <c r="B121" i="3"/>
  <c r="D120" i="3"/>
  <c r="E120" i="3"/>
  <c r="F120" i="3"/>
  <c r="H117" i="1"/>
  <c r="E117" i="1"/>
  <c r="F117" i="1"/>
  <c r="G117" i="1"/>
  <c r="D117" i="1"/>
  <c r="N120" i="4" l="1"/>
  <c r="M120" i="4"/>
  <c r="K120" i="4"/>
  <c r="E120" i="4"/>
  <c r="J120" i="4"/>
  <c r="F120" i="4"/>
  <c r="B121" i="4"/>
  <c r="G120" i="4"/>
  <c r="L120" i="4"/>
  <c r="D120" i="4"/>
  <c r="H120" i="4"/>
  <c r="I120" i="4"/>
  <c r="F121" i="3"/>
  <c r="E121" i="3"/>
  <c r="B122" i="3"/>
  <c r="D121" i="3"/>
  <c r="F118" i="1"/>
  <c r="G118" i="1"/>
  <c r="E118" i="1"/>
  <c r="H118" i="1"/>
  <c r="D118" i="1"/>
  <c r="N121" i="4" l="1"/>
  <c r="M121" i="4"/>
  <c r="E121" i="4"/>
  <c r="K121" i="4"/>
  <c r="J121" i="4"/>
  <c r="F121" i="4"/>
  <c r="I121" i="4"/>
  <c r="H121" i="4"/>
  <c r="L121" i="4"/>
  <c r="D121" i="4"/>
  <c r="B122" i="4"/>
  <c r="G121" i="4"/>
  <c r="B123" i="3"/>
  <c r="D122" i="3"/>
  <c r="E122" i="3"/>
  <c r="F122" i="3"/>
  <c r="F119" i="1"/>
  <c r="E119" i="1"/>
  <c r="D119" i="1"/>
  <c r="H119" i="1"/>
  <c r="G119" i="1"/>
  <c r="N122" i="4" l="1"/>
  <c r="M122" i="4"/>
  <c r="E122" i="4"/>
  <c r="K122" i="4"/>
  <c r="J122" i="4"/>
  <c r="F122" i="4"/>
  <c r="B123" i="4"/>
  <c r="G122" i="4"/>
  <c r="L122" i="4"/>
  <c r="D122" i="4"/>
  <c r="H122" i="4"/>
  <c r="I122" i="4"/>
  <c r="F123" i="3"/>
  <c r="E123" i="3"/>
  <c r="B124" i="3"/>
  <c r="D123" i="3"/>
  <c r="H120" i="1"/>
  <c r="E120" i="1"/>
  <c r="D120" i="1"/>
  <c r="G120" i="1"/>
  <c r="F120" i="1"/>
  <c r="N123" i="4" l="1"/>
  <c r="M123" i="4"/>
  <c r="E123" i="4"/>
  <c r="K123" i="4"/>
  <c r="J123" i="4"/>
  <c r="F123" i="4"/>
  <c r="I123" i="4"/>
  <c r="H123" i="4"/>
  <c r="L123" i="4"/>
  <c r="D123" i="4"/>
  <c r="B124" i="4"/>
  <c r="G123" i="4"/>
  <c r="B125" i="3"/>
  <c r="D124" i="3"/>
  <c r="E124" i="3"/>
  <c r="F124" i="3"/>
  <c r="D121" i="1"/>
  <c r="H121" i="1"/>
  <c r="F121" i="1"/>
  <c r="G121" i="1"/>
  <c r="E121" i="1"/>
  <c r="M124" i="4" l="1"/>
  <c r="N124" i="4"/>
  <c r="K124" i="4"/>
  <c r="E124" i="4"/>
  <c r="J124" i="4"/>
  <c r="F124" i="4"/>
  <c r="B125" i="4"/>
  <c r="G124" i="4"/>
  <c r="H124" i="4"/>
  <c r="D124" i="4"/>
  <c r="I124" i="4"/>
  <c r="L124" i="4"/>
  <c r="F125" i="3"/>
  <c r="E125" i="3"/>
  <c r="B126" i="3"/>
  <c r="D125" i="3"/>
  <c r="F122" i="1"/>
  <c r="G122" i="1"/>
  <c r="E122" i="1"/>
  <c r="H122" i="1"/>
  <c r="D122" i="1"/>
  <c r="N125" i="4" l="1"/>
  <c r="M125" i="4"/>
  <c r="E125" i="4"/>
  <c r="K125" i="4"/>
  <c r="F125" i="4"/>
  <c r="J125" i="4"/>
  <c r="I125" i="4"/>
  <c r="B126" i="4"/>
  <c r="G125" i="4"/>
  <c r="H125" i="4"/>
  <c r="D125" i="4"/>
  <c r="L125" i="4"/>
  <c r="B127" i="3"/>
  <c r="D126" i="3"/>
  <c r="E126" i="3"/>
  <c r="F126" i="3"/>
  <c r="F123" i="1"/>
  <c r="E123" i="1"/>
  <c r="D123" i="1"/>
  <c r="H123" i="1"/>
  <c r="G123" i="1"/>
  <c r="N126" i="4" l="1"/>
  <c r="M126" i="4"/>
  <c r="E126" i="4"/>
  <c r="K126" i="4"/>
  <c r="J126" i="4"/>
  <c r="F126" i="4"/>
  <c r="B127" i="4"/>
  <c r="G126" i="4"/>
  <c r="I126" i="4"/>
  <c r="L126" i="4"/>
  <c r="H126" i="4"/>
  <c r="D126" i="4"/>
  <c r="F127" i="3"/>
  <c r="E127" i="3"/>
  <c r="D127" i="3"/>
  <c r="B128" i="3"/>
  <c r="H124" i="1"/>
  <c r="E124" i="1"/>
  <c r="D124" i="1"/>
  <c r="G124" i="1"/>
  <c r="F124" i="1"/>
  <c r="M127" i="4" l="1"/>
  <c r="N127" i="4"/>
  <c r="E127" i="4"/>
  <c r="K127" i="4"/>
  <c r="J127" i="4"/>
  <c r="F127" i="4"/>
  <c r="I127" i="4"/>
  <c r="B128" i="4"/>
  <c r="G127" i="4"/>
  <c r="L127" i="4"/>
  <c r="D127" i="4"/>
  <c r="H127" i="4"/>
  <c r="B129" i="3"/>
  <c r="D128" i="3"/>
  <c r="F128" i="3"/>
  <c r="E128" i="3"/>
  <c r="H125" i="1"/>
  <c r="E125" i="1"/>
  <c r="F125" i="1"/>
  <c r="G125" i="1"/>
  <c r="D125" i="1"/>
  <c r="N128" i="4" l="1"/>
  <c r="M128" i="4"/>
  <c r="K128" i="4"/>
  <c r="E128" i="4"/>
  <c r="J128" i="4"/>
  <c r="F128" i="4"/>
  <c r="B129" i="4"/>
  <c r="G128" i="4"/>
  <c r="I128" i="4"/>
  <c r="D128" i="4"/>
  <c r="H128" i="4"/>
  <c r="L128" i="4"/>
  <c r="F129" i="3"/>
  <c r="E129" i="3"/>
  <c r="B130" i="3"/>
  <c r="D129" i="3"/>
  <c r="F126" i="1"/>
  <c r="G126" i="1"/>
  <c r="E126" i="1"/>
  <c r="H126" i="1"/>
  <c r="D126" i="1"/>
  <c r="N129" i="4" l="1"/>
  <c r="M129" i="4"/>
  <c r="E129" i="4"/>
  <c r="K129" i="4"/>
  <c r="J129" i="4"/>
  <c r="F129" i="4"/>
  <c r="I129" i="4"/>
  <c r="B130" i="4"/>
  <c r="G129" i="4"/>
  <c r="H129" i="4"/>
  <c r="D129" i="4"/>
  <c r="L129" i="4"/>
  <c r="B131" i="3"/>
  <c r="D130" i="3"/>
  <c r="E130" i="3"/>
  <c r="F130" i="3"/>
  <c r="F127" i="1"/>
  <c r="E127" i="1"/>
  <c r="D127" i="1"/>
  <c r="H127" i="1"/>
  <c r="G127" i="1"/>
  <c r="N130" i="4" l="1"/>
  <c r="M130" i="4"/>
  <c r="E130" i="4"/>
  <c r="K130" i="4"/>
  <c r="J130" i="4"/>
  <c r="F130" i="4"/>
  <c r="B131" i="4"/>
  <c r="G130" i="4"/>
  <c r="I130" i="4"/>
  <c r="L130" i="4"/>
  <c r="H130" i="4"/>
  <c r="D130" i="4"/>
  <c r="F131" i="3"/>
  <c r="E131" i="3"/>
  <c r="D131" i="3"/>
  <c r="B132" i="3"/>
  <c r="H128" i="1"/>
  <c r="E128" i="1"/>
  <c r="D128" i="1"/>
  <c r="G128" i="1"/>
  <c r="F128" i="1"/>
  <c r="N131" i="4" l="1"/>
  <c r="M131" i="4"/>
  <c r="E131" i="4"/>
  <c r="K131" i="4"/>
  <c r="J131" i="4"/>
  <c r="F131" i="4"/>
  <c r="I131" i="4"/>
  <c r="B132" i="4"/>
  <c r="G131" i="4"/>
  <c r="L131" i="4"/>
  <c r="D131" i="4"/>
  <c r="H131" i="4"/>
  <c r="B133" i="3"/>
  <c r="D132" i="3"/>
  <c r="F132" i="3"/>
  <c r="E132" i="3"/>
  <c r="H129" i="1"/>
  <c r="D129" i="1"/>
  <c r="F129" i="1"/>
  <c r="G129" i="1"/>
  <c r="E129" i="1"/>
  <c r="N132" i="4" l="1"/>
  <c r="M132" i="4"/>
  <c r="E132" i="4"/>
  <c r="K132" i="4"/>
  <c r="J132" i="4"/>
  <c r="F132" i="4"/>
  <c r="B133" i="4"/>
  <c r="G132" i="4"/>
  <c r="I132" i="4"/>
  <c r="D132" i="4"/>
  <c r="H132" i="4"/>
  <c r="L132" i="4"/>
  <c r="F133" i="3"/>
  <c r="E133" i="3"/>
  <c r="B134" i="3"/>
  <c r="D133" i="3"/>
  <c r="F130" i="1"/>
  <c r="G130" i="1"/>
  <c r="E130" i="1"/>
  <c r="H130" i="1"/>
  <c r="D130" i="1"/>
  <c r="N133" i="4" l="1"/>
  <c r="M133" i="4"/>
  <c r="E133" i="4"/>
  <c r="K133" i="4"/>
  <c r="F133" i="4"/>
  <c r="J133" i="4"/>
  <c r="I133" i="4"/>
  <c r="B134" i="4"/>
  <c r="G133" i="4"/>
  <c r="H133" i="4"/>
  <c r="D133" i="4"/>
  <c r="L133" i="4"/>
  <c r="B135" i="3"/>
  <c r="D134" i="3"/>
  <c r="E134" i="3"/>
  <c r="F134" i="3"/>
  <c r="F131" i="1"/>
  <c r="E131" i="1"/>
  <c r="D131" i="1"/>
  <c r="H131" i="1"/>
  <c r="G131" i="1"/>
  <c r="N134" i="4" l="1"/>
  <c r="M134" i="4"/>
  <c r="E134" i="4"/>
  <c r="K134" i="4"/>
  <c r="J134" i="4"/>
  <c r="F134" i="4"/>
  <c r="B135" i="4"/>
  <c r="G134" i="4"/>
  <c r="I134" i="4"/>
  <c r="L134" i="4"/>
  <c r="H134" i="4"/>
  <c r="D134" i="4"/>
  <c r="F135" i="3"/>
  <c r="E135" i="3"/>
  <c r="D135" i="3"/>
  <c r="B136" i="3"/>
  <c r="H132" i="1"/>
  <c r="E132" i="1"/>
  <c r="D132" i="1"/>
  <c r="G132" i="1"/>
  <c r="F132" i="1"/>
  <c r="N135" i="4" l="1"/>
  <c r="M135" i="4"/>
  <c r="E135" i="4"/>
  <c r="K135" i="4"/>
  <c r="J135" i="4"/>
  <c r="F135" i="4"/>
  <c r="I135" i="4"/>
  <c r="B136" i="4"/>
  <c r="G135" i="4"/>
  <c r="L135" i="4"/>
  <c r="D135" i="4"/>
  <c r="H135" i="4"/>
  <c r="B137" i="3"/>
  <c r="D136" i="3"/>
  <c r="F136" i="3"/>
  <c r="E136" i="3"/>
  <c r="H133" i="1"/>
  <c r="E133" i="1"/>
  <c r="F133" i="1"/>
  <c r="G133" i="1"/>
  <c r="D133" i="1"/>
  <c r="N136" i="4" l="1"/>
  <c r="M136" i="4"/>
  <c r="K136" i="4"/>
  <c r="J136" i="4"/>
  <c r="E136" i="4"/>
  <c r="F136" i="4"/>
  <c r="B137" i="4"/>
  <c r="G136" i="4"/>
  <c r="I136" i="4"/>
  <c r="D136" i="4"/>
  <c r="H136" i="4"/>
  <c r="L136" i="4"/>
  <c r="F137" i="3"/>
  <c r="E137" i="3"/>
  <c r="B138" i="3"/>
  <c r="D137" i="3"/>
  <c r="F134" i="1"/>
  <c r="G134" i="1"/>
  <c r="E134" i="1"/>
  <c r="H134" i="1"/>
  <c r="D134" i="1"/>
  <c r="N137" i="4" l="1"/>
  <c r="M137" i="4"/>
  <c r="E137" i="4"/>
  <c r="K137" i="4"/>
  <c r="J137" i="4"/>
  <c r="F137" i="4"/>
  <c r="I137" i="4"/>
  <c r="B138" i="4"/>
  <c r="G137" i="4"/>
  <c r="H137" i="4"/>
  <c r="D137" i="4"/>
  <c r="L137" i="4"/>
  <c r="B139" i="3"/>
  <c r="D138" i="3"/>
  <c r="E138" i="3"/>
  <c r="F138" i="3"/>
  <c r="F135" i="1"/>
  <c r="E135" i="1"/>
  <c r="D135" i="1"/>
  <c r="H135" i="1"/>
  <c r="G135" i="1"/>
  <c r="N138" i="4" l="1"/>
  <c r="M138" i="4"/>
  <c r="E138" i="4"/>
  <c r="K138" i="4"/>
  <c r="J138" i="4"/>
  <c r="F138" i="4"/>
  <c r="B139" i="4"/>
  <c r="G138" i="4"/>
  <c r="I138" i="4"/>
  <c r="L138" i="4"/>
  <c r="H138" i="4"/>
  <c r="D138" i="4"/>
  <c r="F139" i="3"/>
  <c r="E139" i="3"/>
  <c r="D139" i="3"/>
  <c r="B140" i="3"/>
  <c r="H136" i="1"/>
  <c r="E136" i="1"/>
  <c r="D136" i="1"/>
  <c r="G136" i="1"/>
  <c r="F136" i="1"/>
  <c r="N139" i="4" l="1"/>
  <c r="M139" i="4"/>
  <c r="E139" i="4"/>
  <c r="K139" i="4"/>
  <c r="J139" i="4"/>
  <c r="F139" i="4"/>
  <c r="I139" i="4"/>
  <c r="B140" i="4"/>
  <c r="G139" i="4"/>
  <c r="L139" i="4"/>
  <c r="D139" i="4"/>
  <c r="H139" i="4"/>
  <c r="B141" i="3"/>
  <c r="D140" i="3"/>
  <c r="F140" i="3"/>
  <c r="E140" i="3"/>
  <c r="D137" i="1"/>
  <c r="H137" i="1"/>
  <c r="F137" i="1"/>
  <c r="G137" i="1"/>
  <c r="E137" i="1"/>
  <c r="M140" i="4" l="1"/>
  <c r="N140" i="4"/>
  <c r="K140" i="4"/>
  <c r="E140" i="4"/>
  <c r="J140" i="4"/>
  <c r="F140" i="4"/>
  <c r="B141" i="4"/>
  <c r="G140" i="4"/>
  <c r="I140" i="4"/>
  <c r="D140" i="4"/>
  <c r="H140" i="4"/>
  <c r="L140" i="4"/>
  <c r="F141" i="3"/>
  <c r="E141" i="3"/>
  <c r="B142" i="3"/>
  <c r="D141" i="3"/>
  <c r="F138" i="1"/>
  <c r="G138" i="1"/>
  <c r="E138" i="1"/>
  <c r="H138" i="1"/>
  <c r="D138" i="1"/>
  <c r="N141" i="4" l="1"/>
  <c r="M141" i="4"/>
  <c r="E141" i="4"/>
  <c r="F141" i="4"/>
  <c r="K141" i="4"/>
  <c r="J141" i="4"/>
  <c r="I141" i="4"/>
  <c r="B142" i="4"/>
  <c r="G141" i="4"/>
  <c r="H141" i="4"/>
  <c r="D141" i="4"/>
  <c r="L141" i="4"/>
  <c r="B143" i="3"/>
  <c r="D142" i="3"/>
  <c r="E142" i="3"/>
  <c r="F142" i="3"/>
  <c r="F139" i="1"/>
  <c r="E139" i="1"/>
  <c r="D139" i="1"/>
  <c r="H139" i="1"/>
  <c r="G139" i="1"/>
  <c r="N142" i="4" l="1"/>
  <c r="M142" i="4"/>
  <c r="E142" i="4"/>
  <c r="K142" i="4"/>
  <c r="J142" i="4"/>
  <c r="F142" i="4"/>
  <c r="B143" i="4"/>
  <c r="G142" i="4"/>
  <c r="I142" i="4"/>
  <c r="L142" i="4"/>
  <c r="H142" i="4"/>
  <c r="D142" i="4"/>
  <c r="F143" i="3"/>
  <c r="E143" i="3"/>
  <c r="D143" i="3"/>
  <c r="B144" i="3"/>
  <c r="H140" i="1"/>
  <c r="E140" i="1"/>
  <c r="D140" i="1"/>
  <c r="G140" i="1"/>
  <c r="F140" i="1"/>
  <c r="M143" i="4" l="1"/>
  <c r="N143" i="4"/>
  <c r="E143" i="4"/>
  <c r="K143" i="4"/>
  <c r="J143" i="4"/>
  <c r="F143" i="4"/>
  <c r="I143" i="4"/>
  <c r="B144" i="4"/>
  <c r="G143" i="4"/>
  <c r="L143" i="4"/>
  <c r="D143" i="4"/>
  <c r="H143" i="4"/>
  <c r="B145" i="3"/>
  <c r="D144" i="3"/>
  <c r="F144" i="3"/>
  <c r="E144" i="3"/>
  <c r="H141" i="1"/>
  <c r="E141" i="1"/>
  <c r="F141" i="1"/>
  <c r="G141" i="1"/>
  <c r="D141" i="1"/>
  <c r="N144" i="4" l="1"/>
  <c r="M144" i="4"/>
  <c r="K144" i="4"/>
  <c r="E144" i="4"/>
  <c r="J144" i="4"/>
  <c r="F144" i="4"/>
  <c r="B145" i="4"/>
  <c r="G144" i="4"/>
  <c r="I144" i="4"/>
  <c r="D144" i="4"/>
  <c r="H144" i="4"/>
  <c r="L144" i="4"/>
  <c r="F145" i="3"/>
  <c r="E145" i="3"/>
  <c r="B146" i="3"/>
  <c r="D145" i="3"/>
  <c r="H142" i="1"/>
  <c r="E142" i="1"/>
  <c r="D142" i="1"/>
  <c r="F142" i="1"/>
  <c r="G142" i="1"/>
  <c r="N145" i="4" l="1"/>
  <c r="M145" i="4"/>
  <c r="E145" i="4"/>
  <c r="K145" i="4"/>
  <c r="J145" i="4"/>
  <c r="F145" i="4"/>
  <c r="I145" i="4"/>
  <c r="B146" i="4"/>
  <c r="G145" i="4"/>
  <c r="H145" i="4"/>
  <c r="D145" i="4"/>
  <c r="L145" i="4"/>
  <c r="B147" i="3"/>
  <c r="D146" i="3"/>
  <c r="E146" i="3"/>
  <c r="F146" i="3"/>
  <c r="D143" i="1"/>
  <c r="G143" i="1"/>
  <c r="H143" i="1"/>
  <c r="E143" i="1"/>
  <c r="F143" i="1"/>
  <c r="N146" i="4" l="1"/>
  <c r="M146" i="4"/>
  <c r="E146" i="4"/>
  <c r="K146" i="4"/>
  <c r="J146" i="4"/>
  <c r="F146" i="4"/>
  <c r="B147" i="4"/>
  <c r="G146" i="4"/>
  <c r="I146" i="4"/>
  <c r="L146" i="4"/>
  <c r="H146" i="4"/>
  <c r="D146" i="4"/>
  <c r="F147" i="3"/>
  <c r="E147" i="3"/>
  <c r="D147" i="3"/>
  <c r="B148" i="3"/>
  <c r="D144" i="1"/>
  <c r="F144" i="1"/>
  <c r="H144" i="1"/>
  <c r="G144" i="1"/>
  <c r="E144" i="1"/>
  <c r="N147" i="4" l="1"/>
  <c r="M147" i="4"/>
  <c r="E147" i="4"/>
  <c r="K147" i="4"/>
  <c r="J147" i="4"/>
  <c r="F147" i="4"/>
  <c r="I147" i="4"/>
  <c r="B148" i="4"/>
  <c r="G147" i="4"/>
  <c r="L147" i="4"/>
  <c r="D147" i="4"/>
  <c r="H147" i="4"/>
  <c r="B149" i="3"/>
  <c r="D148" i="3"/>
  <c r="F148" i="3"/>
  <c r="E148" i="3"/>
  <c r="F145" i="1"/>
  <c r="E145" i="1"/>
  <c r="G145" i="1"/>
  <c r="D145" i="1"/>
  <c r="H145" i="1"/>
  <c r="N148" i="4" l="1"/>
  <c r="M148" i="4"/>
  <c r="E148" i="4"/>
  <c r="K148" i="4"/>
  <c r="J148" i="4"/>
  <c r="F148" i="4"/>
  <c r="B149" i="4"/>
  <c r="G148" i="4"/>
  <c r="I148" i="4"/>
  <c r="D148" i="4"/>
  <c r="H148" i="4"/>
  <c r="L148" i="4"/>
  <c r="F149" i="3"/>
  <c r="E149" i="3"/>
  <c r="B150" i="3"/>
  <c r="D149" i="3"/>
  <c r="E146" i="1"/>
  <c r="D146" i="1"/>
  <c r="F146" i="1"/>
  <c r="H146" i="1"/>
  <c r="G146" i="1"/>
  <c r="N149" i="4" l="1"/>
  <c r="M149" i="4"/>
  <c r="E149" i="4"/>
  <c r="K149" i="4"/>
  <c r="F149" i="4"/>
  <c r="J149" i="4"/>
  <c r="I149" i="4"/>
  <c r="B150" i="4"/>
  <c r="G149" i="4"/>
  <c r="H149" i="4"/>
  <c r="D149" i="4"/>
  <c r="L149" i="4"/>
  <c r="B151" i="3"/>
  <c r="D150" i="3"/>
  <c r="E150" i="3"/>
  <c r="F150" i="3"/>
  <c r="D147" i="1"/>
  <c r="G147" i="1"/>
  <c r="H147" i="1"/>
  <c r="E147" i="1"/>
  <c r="F147" i="1"/>
  <c r="N150" i="4" l="1"/>
  <c r="M150" i="4"/>
  <c r="E150" i="4"/>
  <c r="K150" i="4"/>
  <c r="J150" i="4"/>
  <c r="F150" i="4"/>
  <c r="B151" i="4"/>
  <c r="G150" i="4"/>
  <c r="I150" i="4"/>
  <c r="L150" i="4"/>
  <c r="H150" i="4"/>
  <c r="D150" i="4"/>
  <c r="F151" i="3"/>
  <c r="E151" i="3"/>
  <c r="D151" i="3"/>
  <c r="B152" i="3"/>
  <c r="D148" i="1"/>
  <c r="F148" i="1"/>
  <c r="H148" i="1"/>
  <c r="G148" i="1"/>
  <c r="E148" i="1"/>
  <c r="N151" i="4" l="1"/>
  <c r="M151" i="4"/>
  <c r="E151" i="4"/>
  <c r="K151" i="4"/>
  <c r="J151" i="4"/>
  <c r="F151" i="4"/>
  <c r="I151" i="4"/>
  <c r="B152" i="4"/>
  <c r="G151" i="4"/>
  <c r="L151" i="4"/>
  <c r="D151" i="4"/>
  <c r="H151" i="4"/>
  <c r="B153" i="3"/>
  <c r="D152" i="3"/>
  <c r="F152" i="3"/>
  <c r="E152" i="3"/>
  <c r="F149" i="1"/>
  <c r="E149" i="1"/>
  <c r="G149" i="1"/>
  <c r="D149" i="1"/>
  <c r="H149" i="1"/>
  <c r="N152" i="4" l="1"/>
  <c r="M152" i="4"/>
  <c r="K152" i="4"/>
  <c r="J152" i="4"/>
  <c r="E152" i="4"/>
  <c r="F152" i="4"/>
  <c r="B153" i="4"/>
  <c r="G152" i="4"/>
  <c r="I152" i="4"/>
  <c r="D152" i="4"/>
  <c r="H152" i="4"/>
  <c r="L152" i="4"/>
  <c r="F153" i="3"/>
  <c r="E153" i="3"/>
  <c r="B154" i="3"/>
  <c r="D153" i="3"/>
  <c r="E150" i="1"/>
  <c r="D150" i="1"/>
  <c r="F150" i="1"/>
  <c r="G150" i="1"/>
  <c r="H150" i="1"/>
  <c r="N153" i="4" l="1"/>
  <c r="M153" i="4"/>
  <c r="E153" i="4"/>
  <c r="K153" i="4"/>
  <c r="J153" i="4"/>
  <c r="F153" i="4"/>
  <c r="I153" i="4"/>
  <c r="B154" i="4"/>
  <c r="G153" i="4"/>
  <c r="H153" i="4"/>
  <c r="D153" i="4"/>
  <c r="L153" i="4"/>
  <c r="B155" i="3"/>
  <c r="D154" i="3"/>
  <c r="E154" i="3"/>
  <c r="F154" i="3"/>
  <c r="D151" i="1"/>
  <c r="G151" i="1"/>
  <c r="H151" i="1"/>
  <c r="E151" i="1"/>
  <c r="F151" i="1"/>
  <c r="N154" i="4" l="1"/>
  <c r="M154" i="4"/>
  <c r="E154" i="4"/>
  <c r="K154" i="4"/>
  <c r="J154" i="4"/>
  <c r="F154" i="4"/>
  <c r="B155" i="4"/>
  <c r="G154" i="4"/>
  <c r="I154" i="4"/>
  <c r="L154" i="4"/>
  <c r="H154" i="4"/>
  <c r="D154" i="4"/>
  <c r="F155" i="3"/>
  <c r="E155" i="3"/>
  <c r="D155" i="3"/>
  <c r="B156" i="3"/>
  <c r="D152" i="1"/>
  <c r="F152" i="1"/>
  <c r="H152" i="1"/>
  <c r="G152" i="1"/>
  <c r="E152" i="1"/>
  <c r="N155" i="4" l="1"/>
  <c r="M155" i="4"/>
  <c r="E155" i="4"/>
  <c r="K155" i="4"/>
  <c r="J155" i="4"/>
  <c r="F155" i="4"/>
  <c r="I155" i="4"/>
  <c r="B156" i="4"/>
  <c r="G155" i="4"/>
  <c r="L155" i="4"/>
  <c r="D155" i="4"/>
  <c r="H155" i="4"/>
  <c r="B157" i="3"/>
  <c r="D156" i="3"/>
  <c r="F156" i="3"/>
  <c r="E156" i="3"/>
  <c r="F153" i="1"/>
  <c r="E153" i="1"/>
  <c r="G153" i="1"/>
  <c r="H153" i="1"/>
  <c r="D153" i="1"/>
  <c r="M156" i="4" l="1"/>
  <c r="N156" i="4"/>
  <c r="K156" i="4"/>
  <c r="E156" i="4"/>
  <c r="J156" i="4"/>
  <c r="F156" i="4"/>
  <c r="B157" i="4"/>
  <c r="G156" i="4"/>
  <c r="I156" i="4"/>
  <c r="D156" i="4"/>
  <c r="H156" i="4"/>
  <c r="L156" i="4"/>
  <c r="F157" i="3"/>
  <c r="E157" i="3"/>
  <c r="B158" i="3"/>
  <c r="D157" i="3"/>
  <c r="E154" i="1"/>
  <c r="D154" i="1"/>
  <c r="F154" i="1"/>
  <c r="H154" i="1"/>
  <c r="G154" i="1"/>
  <c r="N157" i="4" l="1"/>
  <c r="M157" i="4"/>
  <c r="E157" i="4"/>
  <c r="K157" i="4"/>
  <c r="F157" i="4"/>
  <c r="J157" i="4"/>
  <c r="I157" i="4"/>
  <c r="B158" i="4"/>
  <c r="G157" i="4"/>
  <c r="H157" i="4"/>
  <c r="D157" i="4"/>
  <c r="L157" i="4"/>
  <c r="B159" i="3"/>
  <c r="D158" i="3"/>
  <c r="E158" i="3"/>
  <c r="F158" i="3"/>
  <c r="D155" i="1"/>
  <c r="G155" i="1"/>
  <c r="H155" i="1"/>
  <c r="E155" i="1"/>
  <c r="F155" i="1"/>
  <c r="N158" i="4" l="1"/>
  <c r="M158" i="4"/>
  <c r="E158" i="4"/>
  <c r="K158" i="4"/>
  <c r="J158" i="4"/>
  <c r="F158" i="4"/>
  <c r="B159" i="4"/>
  <c r="G158" i="4"/>
  <c r="I158" i="4"/>
  <c r="L158" i="4"/>
  <c r="H158" i="4"/>
  <c r="D158" i="4"/>
  <c r="F159" i="3"/>
  <c r="E159" i="3"/>
  <c r="D159" i="3"/>
  <c r="B160" i="3"/>
  <c r="D156" i="1"/>
  <c r="F156" i="1"/>
  <c r="H156" i="1"/>
  <c r="G156" i="1"/>
  <c r="E156" i="1"/>
  <c r="M159" i="4" l="1"/>
  <c r="N159" i="4"/>
  <c r="E159" i="4"/>
  <c r="K159" i="4"/>
  <c r="J159" i="4"/>
  <c r="F159" i="4"/>
  <c r="I159" i="4"/>
  <c r="B160" i="4"/>
  <c r="G159" i="4"/>
  <c r="L159" i="4"/>
  <c r="D159" i="4"/>
  <c r="H159" i="4"/>
  <c r="B161" i="3"/>
  <c r="D160" i="3"/>
  <c r="F160" i="3"/>
  <c r="E160" i="3"/>
  <c r="F157" i="1"/>
  <c r="E157" i="1"/>
  <c r="G157" i="1"/>
  <c r="D157" i="1"/>
  <c r="H157" i="1"/>
  <c r="N160" i="4" l="1"/>
  <c r="M160" i="4"/>
  <c r="K160" i="4"/>
  <c r="E160" i="4"/>
  <c r="J160" i="4"/>
  <c r="F160" i="4"/>
  <c r="B161" i="4"/>
  <c r="G160" i="4"/>
  <c r="I160" i="4"/>
  <c r="D160" i="4"/>
  <c r="H160" i="4"/>
  <c r="L160" i="4"/>
  <c r="F161" i="3"/>
  <c r="E161" i="3"/>
  <c r="B162" i="3"/>
  <c r="D161" i="3"/>
  <c r="E158" i="1"/>
  <c r="D158" i="1"/>
  <c r="F158" i="1"/>
  <c r="G158" i="1"/>
  <c r="H158" i="1"/>
  <c r="N161" i="4" l="1"/>
  <c r="M161" i="4"/>
  <c r="E161" i="4"/>
  <c r="K161" i="4"/>
  <c r="J161" i="4"/>
  <c r="F161" i="4"/>
  <c r="I161" i="4"/>
  <c r="B162" i="4"/>
  <c r="G161" i="4"/>
  <c r="H161" i="4"/>
  <c r="D161" i="4"/>
  <c r="L161" i="4"/>
  <c r="B163" i="3"/>
  <c r="D162" i="3"/>
  <c r="E162" i="3"/>
  <c r="F162" i="3"/>
  <c r="D159" i="1"/>
  <c r="G159" i="1"/>
  <c r="H159" i="1"/>
  <c r="E159" i="1"/>
  <c r="F159" i="1"/>
  <c r="N162" i="4" l="1"/>
  <c r="M162" i="4"/>
  <c r="E162" i="4"/>
  <c r="K162" i="4"/>
  <c r="J162" i="4"/>
  <c r="F162" i="4"/>
  <c r="B163" i="4"/>
  <c r="G162" i="4"/>
  <c r="I162" i="4"/>
  <c r="L162" i="4"/>
  <c r="H162" i="4"/>
  <c r="D162" i="4"/>
  <c r="F163" i="3"/>
  <c r="E163" i="3"/>
  <c r="D163" i="3"/>
  <c r="B164" i="3"/>
  <c r="D160" i="1"/>
  <c r="F160" i="1"/>
  <c r="H160" i="1"/>
  <c r="G160" i="1"/>
  <c r="E160" i="1"/>
  <c r="N163" i="4" l="1"/>
  <c r="M163" i="4"/>
  <c r="E163" i="4"/>
  <c r="K163" i="4"/>
  <c r="J163" i="4"/>
  <c r="F163" i="4"/>
  <c r="I163" i="4"/>
  <c r="B164" i="4"/>
  <c r="G163" i="4"/>
  <c r="L163" i="4"/>
  <c r="D163" i="4"/>
  <c r="H163" i="4"/>
  <c r="B165" i="3"/>
  <c r="D164" i="3"/>
  <c r="F164" i="3"/>
  <c r="E164" i="3"/>
  <c r="F161" i="1"/>
  <c r="E161" i="1"/>
  <c r="G161" i="1"/>
  <c r="D161" i="1"/>
  <c r="H161" i="1"/>
  <c r="N164" i="4" l="1"/>
  <c r="M164" i="4"/>
  <c r="E164" i="4"/>
  <c r="K164" i="4"/>
  <c r="J164" i="4"/>
  <c r="F164" i="4"/>
  <c r="B165" i="4"/>
  <c r="G164" i="4"/>
  <c r="I164" i="4"/>
  <c r="D164" i="4"/>
  <c r="H164" i="4"/>
  <c r="L164" i="4"/>
  <c r="F165" i="3"/>
  <c r="E165" i="3"/>
  <c r="B166" i="3"/>
  <c r="D165" i="3"/>
  <c r="E162" i="1"/>
  <c r="D162" i="1"/>
  <c r="F162" i="1"/>
  <c r="H162" i="1"/>
  <c r="G162" i="1"/>
  <c r="N165" i="4" l="1"/>
  <c r="M165" i="4"/>
  <c r="E165" i="4"/>
  <c r="K165" i="4"/>
  <c r="F165" i="4"/>
  <c r="J165" i="4"/>
  <c r="I165" i="4"/>
  <c r="B166" i="4"/>
  <c r="G165" i="4"/>
  <c r="H165" i="4"/>
  <c r="D165" i="4"/>
  <c r="L165" i="4"/>
  <c r="B167" i="3"/>
  <c r="D166" i="3"/>
  <c r="E166" i="3"/>
  <c r="F166" i="3"/>
  <c r="D163" i="1"/>
  <c r="G163" i="1"/>
  <c r="H163" i="1"/>
  <c r="E163" i="1"/>
  <c r="F163" i="1"/>
  <c r="N166" i="4" l="1"/>
  <c r="M166" i="4"/>
  <c r="E166" i="4"/>
  <c r="K166" i="4"/>
  <c r="J166" i="4"/>
  <c r="F166" i="4"/>
  <c r="B167" i="4"/>
  <c r="G166" i="4"/>
  <c r="I166" i="4"/>
  <c r="L166" i="4"/>
  <c r="H166" i="4"/>
  <c r="D166" i="4"/>
  <c r="F167" i="3"/>
  <c r="E167" i="3"/>
  <c r="D167" i="3"/>
  <c r="B168" i="3"/>
  <c r="D164" i="1"/>
  <c r="F164" i="1"/>
  <c r="H164" i="1"/>
  <c r="G164" i="1"/>
  <c r="E164" i="1"/>
  <c r="N167" i="4" l="1"/>
  <c r="M167" i="4"/>
  <c r="E167" i="4"/>
  <c r="K167" i="4"/>
  <c r="J167" i="4"/>
  <c r="F167" i="4"/>
  <c r="I167" i="4"/>
  <c r="B168" i="4"/>
  <c r="G167" i="4"/>
  <c r="L167" i="4"/>
  <c r="D167" i="4"/>
  <c r="H167" i="4"/>
  <c r="B169" i="3"/>
  <c r="D168" i="3"/>
  <c r="F168" i="3"/>
  <c r="E168" i="3"/>
  <c r="F165" i="1"/>
  <c r="E165" i="1"/>
  <c r="G165" i="1"/>
  <c r="D165" i="1"/>
  <c r="H165" i="1"/>
  <c r="N168" i="4" l="1"/>
  <c r="M168" i="4"/>
  <c r="K168" i="4"/>
  <c r="J168" i="4"/>
  <c r="E168" i="4"/>
  <c r="F168" i="4"/>
  <c r="B169" i="4"/>
  <c r="G168" i="4"/>
  <c r="I168" i="4"/>
  <c r="D168" i="4"/>
  <c r="H168" i="4"/>
  <c r="L168" i="4"/>
  <c r="F169" i="3"/>
  <c r="E169" i="3"/>
  <c r="B170" i="3"/>
  <c r="D169" i="3"/>
  <c r="D166" i="1"/>
  <c r="F166" i="1"/>
  <c r="E166" i="1"/>
  <c r="G166" i="1"/>
  <c r="H166" i="1"/>
  <c r="N169" i="4" l="1"/>
  <c r="M169" i="4"/>
  <c r="E169" i="4"/>
  <c r="K169" i="4"/>
  <c r="J169" i="4"/>
  <c r="F169" i="4"/>
  <c r="I169" i="4"/>
  <c r="B170" i="4"/>
  <c r="G169" i="4"/>
  <c r="H169" i="4"/>
  <c r="D169" i="4"/>
  <c r="L169" i="4"/>
  <c r="B171" i="3"/>
  <c r="D170" i="3"/>
  <c r="E170" i="3"/>
  <c r="F170" i="3"/>
  <c r="G167" i="1"/>
  <c r="H167" i="1"/>
  <c r="E167" i="1"/>
  <c r="D167" i="1"/>
  <c r="F167" i="1"/>
  <c r="N170" i="4" l="1"/>
  <c r="M170" i="4"/>
  <c r="E170" i="4"/>
  <c r="K170" i="4"/>
  <c r="J170" i="4"/>
  <c r="F170" i="4"/>
  <c r="B171" i="4"/>
  <c r="G170" i="4"/>
  <c r="I170" i="4"/>
  <c r="L170" i="4"/>
  <c r="H170" i="4"/>
  <c r="D170" i="4"/>
  <c r="F171" i="3"/>
  <c r="E171" i="3"/>
  <c r="D171" i="3"/>
  <c r="B172" i="3"/>
  <c r="H168" i="1"/>
  <c r="E168" i="1"/>
  <c r="G168" i="1"/>
  <c r="D168" i="1"/>
  <c r="F168" i="1"/>
  <c r="N171" i="4" l="1"/>
  <c r="M171" i="4"/>
  <c r="E171" i="4"/>
  <c r="K171" i="4"/>
  <c r="J171" i="4"/>
  <c r="F171" i="4"/>
  <c r="I171" i="4"/>
  <c r="B172" i="4"/>
  <c r="G171" i="4"/>
  <c r="L171" i="4"/>
  <c r="D171" i="4"/>
  <c r="H171" i="4"/>
  <c r="B173" i="3"/>
  <c r="D172" i="3"/>
  <c r="F172" i="3"/>
  <c r="E172" i="3"/>
  <c r="E169" i="1"/>
  <c r="D169" i="1"/>
  <c r="H169" i="1"/>
  <c r="F169" i="1"/>
  <c r="G169" i="1"/>
  <c r="M172" i="4" l="1"/>
  <c r="N172" i="4"/>
  <c r="K172" i="4"/>
  <c r="E172" i="4"/>
  <c r="J172" i="4"/>
  <c r="F172" i="4"/>
  <c r="B173" i="4"/>
  <c r="G172" i="4"/>
  <c r="I172" i="4"/>
  <c r="D172" i="4"/>
  <c r="H172" i="4"/>
  <c r="L172" i="4"/>
  <c r="F173" i="3"/>
  <c r="E173" i="3"/>
  <c r="B174" i="3"/>
  <c r="D173" i="3"/>
  <c r="F170" i="1"/>
  <c r="G170" i="1"/>
  <c r="H170" i="1"/>
  <c r="E170" i="1"/>
  <c r="D170" i="1"/>
  <c r="N173" i="4" l="1"/>
  <c r="M173" i="4"/>
  <c r="E173" i="4"/>
  <c r="F173" i="4"/>
  <c r="K173" i="4"/>
  <c r="J173" i="4"/>
  <c r="I173" i="4"/>
  <c r="B174" i="4"/>
  <c r="G173" i="4"/>
  <c r="H173" i="4"/>
  <c r="D173" i="4"/>
  <c r="L173" i="4"/>
  <c r="B175" i="3"/>
  <c r="D174" i="3"/>
  <c r="E174" i="3"/>
  <c r="F174" i="3"/>
  <c r="D171" i="1"/>
  <c r="F171" i="1"/>
  <c r="H171" i="1"/>
  <c r="G171" i="1"/>
  <c r="E171" i="1"/>
  <c r="N174" i="4" l="1"/>
  <c r="M174" i="4"/>
  <c r="E174" i="4"/>
  <c r="K174" i="4"/>
  <c r="J174" i="4"/>
  <c r="F174" i="4"/>
  <c r="B175" i="4"/>
  <c r="G174" i="4"/>
  <c r="I174" i="4"/>
  <c r="L174" i="4"/>
  <c r="H174" i="4"/>
  <c r="D174" i="4"/>
  <c r="F175" i="3"/>
  <c r="E175" i="3"/>
  <c r="D175" i="3"/>
  <c r="B176" i="3"/>
  <c r="E172" i="1"/>
  <c r="G172" i="1"/>
  <c r="F172" i="1"/>
  <c r="D172" i="1"/>
  <c r="H172" i="1"/>
  <c r="M175" i="4" l="1"/>
  <c r="N175" i="4"/>
  <c r="E175" i="4"/>
  <c r="K175" i="4"/>
  <c r="J175" i="4"/>
  <c r="F175" i="4"/>
  <c r="I175" i="4"/>
  <c r="B176" i="4"/>
  <c r="G175" i="4"/>
  <c r="L175" i="4"/>
  <c r="D175" i="4"/>
  <c r="H175" i="4"/>
  <c r="B177" i="3"/>
  <c r="D176" i="3"/>
  <c r="F176" i="3"/>
  <c r="E176" i="3"/>
  <c r="F173" i="1"/>
  <c r="H173" i="1"/>
  <c r="G173" i="1"/>
  <c r="E173" i="1"/>
  <c r="D173" i="1"/>
  <c r="N176" i="4" l="1"/>
  <c r="M176" i="4"/>
  <c r="K176" i="4"/>
  <c r="E176" i="4"/>
  <c r="J176" i="4"/>
  <c r="F176" i="4"/>
  <c r="B177" i="4"/>
  <c r="G176" i="4"/>
  <c r="I176" i="4"/>
  <c r="D176" i="4"/>
  <c r="H176" i="4"/>
  <c r="L176" i="4"/>
  <c r="F177" i="3"/>
  <c r="E177" i="3"/>
  <c r="B178" i="3"/>
  <c r="D177" i="3"/>
  <c r="G174" i="1"/>
  <c r="H174" i="1"/>
  <c r="D174" i="1"/>
  <c r="E174" i="1"/>
  <c r="F174" i="1"/>
  <c r="N177" i="4" l="1"/>
  <c r="M177" i="4"/>
  <c r="E177" i="4"/>
  <c r="K177" i="4"/>
  <c r="J177" i="4"/>
  <c r="F177" i="4"/>
  <c r="I177" i="4"/>
  <c r="B178" i="4"/>
  <c r="G177" i="4"/>
  <c r="H177" i="4"/>
  <c r="D177" i="4"/>
  <c r="L177" i="4"/>
  <c r="B179" i="3"/>
  <c r="D178" i="3"/>
  <c r="E178" i="3"/>
  <c r="F178" i="3"/>
  <c r="D175" i="1"/>
  <c r="F175" i="1"/>
  <c r="H175" i="1"/>
  <c r="G175" i="1"/>
  <c r="E175" i="1"/>
  <c r="N178" i="4" l="1"/>
  <c r="M178" i="4"/>
  <c r="E178" i="4"/>
  <c r="K178" i="4"/>
  <c r="J178" i="4"/>
  <c r="F178" i="4"/>
  <c r="B179" i="4"/>
  <c r="G178" i="4"/>
  <c r="I178" i="4"/>
  <c r="L178" i="4"/>
  <c r="H178" i="4"/>
  <c r="D178" i="4"/>
  <c r="F179" i="3"/>
  <c r="E179" i="3"/>
  <c r="D179" i="3"/>
  <c r="B180" i="3"/>
  <c r="E176" i="1"/>
  <c r="G176" i="1"/>
  <c r="F176" i="1"/>
  <c r="D176" i="1"/>
  <c r="H176" i="1"/>
  <c r="N179" i="4" l="1"/>
  <c r="M179" i="4"/>
  <c r="E179" i="4"/>
  <c r="K179" i="4"/>
  <c r="J179" i="4"/>
  <c r="F179" i="4"/>
  <c r="I179" i="4"/>
  <c r="B180" i="4"/>
  <c r="G179" i="4"/>
  <c r="L179" i="4"/>
  <c r="D179" i="4"/>
  <c r="H179" i="4"/>
  <c r="B181" i="3"/>
  <c r="D180" i="3"/>
  <c r="F180" i="3"/>
  <c r="E180" i="3"/>
  <c r="D177" i="1"/>
  <c r="F177" i="1"/>
  <c r="H177" i="1"/>
  <c r="G177" i="1"/>
  <c r="E177" i="1"/>
  <c r="N180" i="4" l="1"/>
  <c r="M180" i="4"/>
  <c r="E180" i="4"/>
  <c r="K180" i="4"/>
  <c r="J180" i="4"/>
  <c r="F180" i="4"/>
  <c r="B181" i="4"/>
  <c r="G180" i="4"/>
  <c r="I180" i="4"/>
  <c r="D180" i="4"/>
  <c r="H180" i="4"/>
  <c r="L180" i="4"/>
  <c r="F181" i="3"/>
  <c r="E181" i="3"/>
  <c r="B182" i="3"/>
  <c r="D181" i="3"/>
  <c r="E178" i="1"/>
  <c r="G178" i="1"/>
  <c r="F178" i="1"/>
  <c r="D178" i="1"/>
  <c r="H178" i="1"/>
  <c r="N181" i="4" l="1"/>
  <c r="M181" i="4"/>
  <c r="E181" i="4"/>
  <c r="K181" i="4"/>
  <c r="F181" i="4"/>
  <c r="J181" i="4"/>
  <c r="I181" i="4"/>
  <c r="B182" i="4"/>
  <c r="G181" i="4"/>
  <c r="H181" i="4"/>
  <c r="D181" i="4"/>
  <c r="L181" i="4"/>
  <c r="B183" i="3"/>
  <c r="D182" i="3"/>
  <c r="E182" i="3"/>
  <c r="F182" i="3"/>
  <c r="F179" i="1"/>
  <c r="D179" i="1"/>
  <c r="G179" i="1"/>
  <c r="E179" i="1"/>
  <c r="H179" i="1"/>
  <c r="N182" i="4" l="1"/>
  <c r="M182" i="4"/>
  <c r="E182" i="4"/>
  <c r="K182" i="4"/>
  <c r="J182" i="4"/>
  <c r="F182" i="4"/>
  <c r="B183" i="4"/>
  <c r="G182" i="4"/>
  <c r="I182" i="4"/>
  <c r="L182" i="4"/>
  <c r="H182" i="4"/>
  <c r="D182" i="4"/>
  <c r="F183" i="3"/>
  <c r="E183" i="3"/>
  <c r="D183" i="3"/>
  <c r="B184" i="3"/>
  <c r="G180" i="1"/>
  <c r="H180" i="1"/>
  <c r="D180" i="1"/>
  <c r="E180" i="1"/>
  <c r="F180" i="1"/>
  <c r="N183" i="4" l="1"/>
  <c r="M183" i="4"/>
  <c r="E183" i="4"/>
  <c r="K183" i="4"/>
  <c r="J183" i="4"/>
  <c r="F183" i="4"/>
  <c r="I183" i="4"/>
  <c r="B184" i="4"/>
  <c r="G183" i="4"/>
  <c r="L183" i="4"/>
  <c r="D183" i="4"/>
  <c r="H183" i="4"/>
  <c r="B185" i="3"/>
  <c r="D184" i="3"/>
  <c r="F184" i="3"/>
  <c r="E184" i="3"/>
  <c r="D181" i="1"/>
  <c r="F181" i="1"/>
  <c r="H181" i="1"/>
  <c r="G181" i="1"/>
  <c r="E181" i="1"/>
  <c r="N184" i="4" l="1"/>
  <c r="M184" i="4"/>
  <c r="K184" i="4"/>
  <c r="E184" i="4"/>
  <c r="J184" i="4"/>
  <c r="F184" i="4"/>
  <c r="B185" i="4"/>
  <c r="G184" i="4"/>
  <c r="I184" i="4"/>
  <c r="D184" i="4"/>
  <c r="H184" i="4"/>
  <c r="L184" i="4"/>
  <c r="F185" i="3"/>
  <c r="E185" i="3"/>
  <c r="B186" i="3"/>
  <c r="D185" i="3"/>
  <c r="E182" i="1"/>
  <c r="G182" i="1"/>
  <c r="F182" i="1"/>
  <c r="D182" i="1"/>
  <c r="H182" i="1"/>
  <c r="N185" i="4" l="1"/>
  <c r="M185" i="4"/>
  <c r="E185" i="4"/>
  <c r="K185" i="4"/>
  <c r="J185" i="4"/>
  <c r="F185" i="4"/>
  <c r="I185" i="4"/>
  <c r="B186" i="4"/>
  <c r="G185" i="4"/>
  <c r="H185" i="4"/>
  <c r="D185" i="4"/>
  <c r="L185" i="4"/>
  <c r="B187" i="3"/>
  <c r="D186" i="3"/>
  <c r="E186" i="3"/>
  <c r="F186" i="3"/>
  <c r="F183" i="1"/>
  <c r="H183" i="1"/>
  <c r="G183" i="1"/>
  <c r="E183" i="1"/>
  <c r="D183" i="1"/>
  <c r="N186" i="4" l="1"/>
  <c r="M186" i="4"/>
  <c r="E186" i="4"/>
  <c r="K186" i="4"/>
  <c r="J186" i="4"/>
  <c r="F186" i="4"/>
  <c r="B187" i="4"/>
  <c r="G186" i="4"/>
  <c r="I186" i="4"/>
  <c r="L186" i="4"/>
  <c r="H186" i="4"/>
  <c r="D186" i="4"/>
  <c r="F187" i="3"/>
  <c r="E187" i="3"/>
  <c r="D187" i="3"/>
  <c r="B188" i="3"/>
  <c r="G184" i="1"/>
  <c r="H184" i="1"/>
  <c r="D184" i="1"/>
  <c r="E184" i="1"/>
  <c r="F184" i="1"/>
  <c r="N187" i="4" l="1"/>
  <c r="M187" i="4"/>
  <c r="E187" i="4"/>
  <c r="K187" i="4"/>
  <c r="J187" i="4"/>
  <c r="F187" i="4"/>
  <c r="I187" i="4"/>
  <c r="B188" i="4"/>
  <c r="G187" i="4"/>
  <c r="L187" i="4"/>
  <c r="D187" i="4"/>
  <c r="H187" i="4"/>
  <c r="B189" i="3"/>
  <c r="D188" i="3"/>
  <c r="F188" i="3"/>
  <c r="E188" i="3"/>
  <c r="D185" i="1"/>
  <c r="F185" i="1"/>
  <c r="H185" i="1"/>
  <c r="G185" i="1"/>
  <c r="E185" i="1"/>
  <c r="M188" i="4" l="1"/>
  <c r="N188" i="4"/>
  <c r="K188" i="4"/>
  <c r="E188" i="4"/>
  <c r="J188" i="4"/>
  <c r="F188" i="4"/>
  <c r="B189" i="4"/>
  <c r="G188" i="4"/>
  <c r="I188" i="4"/>
  <c r="D188" i="4"/>
  <c r="H188" i="4"/>
  <c r="L188" i="4"/>
  <c r="F189" i="3"/>
  <c r="E189" i="3"/>
  <c r="B190" i="3"/>
  <c r="D189" i="3"/>
  <c r="E186" i="1"/>
  <c r="G186" i="1"/>
  <c r="F186" i="1"/>
  <c r="D186" i="1"/>
  <c r="H186" i="1"/>
  <c r="N189" i="4" l="1"/>
  <c r="M189" i="4"/>
  <c r="E189" i="4"/>
  <c r="K189" i="4"/>
  <c r="F189" i="4"/>
  <c r="J189" i="4"/>
  <c r="I189" i="4"/>
  <c r="B190" i="4"/>
  <c r="G189" i="4"/>
  <c r="H189" i="4"/>
  <c r="D189" i="4"/>
  <c r="L189" i="4"/>
  <c r="B191" i="3"/>
  <c r="D190" i="3"/>
  <c r="E190" i="3"/>
  <c r="F190" i="3"/>
  <c r="F187" i="1"/>
  <c r="H187" i="1"/>
  <c r="G187" i="1"/>
  <c r="E187" i="1"/>
  <c r="D187" i="1"/>
  <c r="N190" i="4" l="1"/>
  <c r="M190" i="4"/>
  <c r="E190" i="4"/>
  <c r="K190" i="4"/>
  <c r="J190" i="4"/>
  <c r="F190" i="4"/>
  <c r="B191" i="4"/>
  <c r="G190" i="4"/>
  <c r="I190" i="4"/>
  <c r="L190" i="4"/>
  <c r="H190" i="4"/>
  <c r="D190" i="4"/>
  <c r="F191" i="3"/>
  <c r="E191" i="3"/>
  <c r="D191" i="3"/>
  <c r="B192" i="3"/>
  <c r="G188" i="1"/>
  <c r="H188" i="1"/>
  <c r="D188" i="1"/>
  <c r="E188" i="1"/>
  <c r="F188" i="1"/>
  <c r="M191" i="4" l="1"/>
  <c r="N191" i="4"/>
  <c r="E191" i="4"/>
  <c r="K191" i="4"/>
  <c r="J191" i="4"/>
  <c r="F191" i="4"/>
  <c r="I191" i="4"/>
  <c r="B192" i="4"/>
  <c r="G191" i="4"/>
  <c r="L191" i="4"/>
  <c r="D191" i="4"/>
  <c r="H191" i="4"/>
  <c r="B193" i="3"/>
  <c r="D192" i="3"/>
  <c r="F192" i="3"/>
  <c r="E192" i="3"/>
  <c r="D189" i="1"/>
  <c r="F189" i="1"/>
  <c r="H189" i="1"/>
  <c r="G189" i="1"/>
  <c r="E189" i="1"/>
  <c r="N192" i="4" l="1"/>
  <c r="M192" i="4"/>
  <c r="K192" i="4"/>
  <c r="E192" i="4"/>
  <c r="J192" i="4"/>
  <c r="F192" i="4"/>
  <c r="B193" i="4"/>
  <c r="G192" i="4"/>
  <c r="I192" i="4"/>
  <c r="D192" i="4"/>
  <c r="H192" i="4"/>
  <c r="L192" i="4"/>
  <c r="F193" i="3"/>
  <c r="E193" i="3"/>
  <c r="B194" i="3"/>
  <c r="D193" i="3"/>
  <c r="E190" i="1"/>
  <c r="G190" i="1"/>
  <c r="F190" i="1"/>
  <c r="D190" i="1"/>
  <c r="H190" i="1"/>
  <c r="N193" i="4" l="1"/>
  <c r="M193" i="4"/>
  <c r="E193" i="4"/>
  <c r="K193" i="4"/>
  <c r="J193" i="4"/>
  <c r="F193" i="4"/>
  <c r="I193" i="4"/>
  <c r="B194" i="4"/>
  <c r="G193" i="4"/>
  <c r="H193" i="4"/>
  <c r="D193" i="4"/>
  <c r="L193" i="4"/>
  <c r="B195" i="3"/>
  <c r="D194" i="3"/>
  <c r="E194" i="3"/>
  <c r="F194" i="3"/>
  <c r="F191" i="1"/>
  <c r="H191" i="1"/>
  <c r="G191" i="1"/>
  <c r="E191" i="1"/>
  <c r="D191" i="1"/>
  <c r="N194" i="4" l="1"/>
  <c r="M194" i="4"/>
  <c r="E194" i="4"/>
  <c r="K194" i="4"/>
  <c r="J194" i="4"/>
  <c r="F194" i="4"/>
  <c r="B195" i="4"/>
  <c r="G194" i="4"/>
  <c r="I194" i="4"/>
  <c r="L194" i="4"/>
  <c r="H194" i="4"/>
  <c r="D194" i="4"/>
  <c r="F195" i="3"/>
  <c r="E195" i="3"/>
  <c r="D195" i="3"/>
  <c r="B196" i="3"/>
  <c r="G192" i="1"/>
  <c r="H192" i="1"/>
  <c r="D192" i="1"/>
  <c r="E192" i="1"/>
  <c r="F192" i="1"/>
  <c r="N195" i="4" l="1"/>
  <c r="M195" i="4"/>
  <c r="E195" i="4"/>
  <c r="K195" i="4"/>
  <c r="J195" i="4"/>
  <c r="F195" i="4"/>
  <c r="I195" i="4"/>
  <c r="B196" i="4"/>
  <c r="G195" i="4"/>
  <c r="L195" i="4"/>
  <c r="D195" i="4"/>
  <c r="H195" i="4"/>
  <c r="B197" i="3"/>
  <c r="D196" i="3"/>
  <c r="F196" i="3"/>
  <c r="E196" i="3"/>
  <c r="H193" i="1"/>
  <c r="G193" i="1"/>
  <c r="D193" i="1"/>
  <c r="E193" i="1"/>
  <c r="F193" i="1"/>
  <c r="N196" i="4" l="1"/>
  <c r="M196" i="4"/>
  <c r="E196" i="4"/>
  <c r="K196" i="4"/>
  <c r="J196" i="4"/>
  <c r="F196" i="4"/>
  <c r="B197" i="4"/>
  <c r="G196" i="4"/>
  <c r="I196" i="4"/>
  <c r="D196" i="4"/>
  <c r="H196" i="4"/>
  <c r="L196" i="4"/>
  <c r="F197" i="3"/>
  <c r="E197" i="3"/>
  <c r="B198" i="3"/>
  <c r="D197" i="3"/>
  <c r="G194" i="1"/>
  <c r="F194" i="1"/>
  <c r="D194" i="1"/>
  <c r="H194" i="1"/>
  <c r="E194" i="1"/>
  <c r="N197" i="4" l="1"/>
  <c r="M197" i="4"/>
  <c r="E197" i="4"/>
  <c r="K197" i="4"/>
  <c r="F197" i="4"/>
  <c r="J197" i="4"/>
  <c r="I197" i="4"/>
  <c r="B198" i="4"/>
  <c r="G197" i="4"/>
  <c r="H197" i="4"/>
  <c r="D197" i="4"/>
  <c r="L197" i="4"/>
  <c r="B199" i="3"/>
  <c r="D198" i="3"/>
  <c r="E198" i="3"/>
  <c r="F198" i="3"/>
  <c r="F195" i="1"/>
  <c r="D195" i="1"/>
  <c r="G195" i="1"/>
  <c r="E195" i="1"/>
  <c r="H195" i="1"/>
  <c r="N198" i="4" l="1"/>
  <c r="M198" i="4"/>
  <c r="E198" i="4"/>
  <c r="K198" i="4"/>
  <c r="J198" i="4"/>
  <c r="F198" i="4"/>
  <c r="B199" i="4"/>
  <c r="G198" i="4"/>
  <c r="I198" i="4"/>
  <c r="L198" i="4"/>
  <c r="H198" i="4"/>
  <c r="D198" i="4"/>
  <c r="F199" i="3"/>
  <c r="E199" i="3"/>
  <c r="D199" i="3"/>
  <c r="B200" i="3"/>
  <c r="G196" i="1"/>
  <c r="H196" i="1"/>
  <c r="D196" i="1"/>
  <c r="E196" i="1"/>
  <c r="F196" i="1"/>
  <c r="N199" i="4" l="1"/>
  <c r="M199" i="4"/>
  <c r="E199" i="4"/>
  <c r="K199" i="4"/>
  <c r="J199" i="4"/>
  <c r="F199" i="4"/>
  <c r="I199" i="4"/>
  <c r="B200" i="4"/>
  <c r="G199" i="4"/>
  <c r="L199" i="4"/>
  <c r="D199" i="4"/>
  <c r="H199" i="4"/>
  <c r="B201" i="3"/>
  <c r="D200" i="3"/>
  <c r="F200" i="3"/>
  <c r="E200" i="3"/>
  <c r="D197" i="1"/>
  <c r="F197" i="1"/>
  <c r="H197" i="1"/>
  <c r="G197" i="1"/>
  <c r="E197" i="1"/>
  <c r="N200" i="4" l="1"/>
  <c r="M200" i="4"/>
  <c r="K200" i="4"/>
  <c r="J200" i="4"/>
  <c r="E200" i="4"/>
  <c r="F200" i="4"/>
  <c r="B201" i="4"/>
  <c r="G200" i="4"/>
  <c r="I200" i="4"/>
  <c r="D200" i="4"/>
  <c r="H200" i="4"/>
  <c r="L200" i="4"/>
  <c r="F201" i="3"/>
  <c r="E201" i="3"/>
  <c r="B202" i="3"/>
  <c r="D201" i="3"/>
  <c r="E198" i="1"/>
  <c r="G198" i="1"/>
  <c r="F198" i="1"/>
  <c r="D198" i="1"/>
  <c r="H198" i="1"/>
  <c r="N201" i="4" l="1"/>
  <c r="M201" i="4"/>
  <c r="E201" i="4"/>
  <c r="K201" i="4"/>
  <c r="J201" i="4"/>
  <c r="F201" i="4"/>
  <c r="I201" i="4"/>
  <c r="B202" i="4"/>
  <c r="G201" i="4"/>
  <c r="H201" i="4"/>
  <c r="D201" i="4"/>
  <c r="L201" i="4"/>
  <c r="B203" i="3"/>
  <c r="D202" i="3"/>
  <c r="E202" i="3"/>
  <c r="F202" i="3"/>
  <c r="F199" i="1"/>
  <c r="H199" i="1"/>
  <c r="G199" i="1"/>
  <c r="E199" i="1"/>
  <c r="D199" i="1"/>
  <c r="N202" i="4" l="1"/>
  <c r="M202" i="4"/>
  <c r="E202" i="4"/>
  <c r="K202" i="4"/>
  <c r="J202" i="4"/>
  <c r="F202" i="4"/>
  <c r="B203" i="4"/>
  <c r="G202" i="4"/>
  <c r="I202" i="4"/>
  <c r="L202" i="4"/>
  <c r="H202" i="4"/>
  <c r="D202" i="4"/>
  <c r="F203" i="3"/>
  <c r="E203" i="3"/>
  <c r="D203" i="3"/>
  <c r="B204" i="3"/>
  <c r="G200" i="1"/>
  <c r="H200" i="1"/>
  <c r="D200" i="1"/>
  <c r="E200" i="1"/>
  <c r="F200" i="1"/>
  <c r="N203" i="4" l="1"/>
  <c r="M203" i="4"/>
  <c r="E203" i="4"/>
  <c r="K203" i="4"/>
  <c r="J203" i="4"/>
  <c r="F203" i="4"/>
  <c r="I203" i="4"/>
  <c r="B204" i="4"/>
  <c r="G203" i="4"/>
  <c r="L203" i="4"/>
  <c r="D203" i="4"/>
  <c r="H203" i="4"/>
  <c r="B205" i="3"/>
  <c r="D204" i="3"/>
  <c r="F204" i="3"/>
  <c r="E204" i="3"/>
  <c r="D201" i="1"/>
  <c r="F201" i="1"/>
  <c r="H201" i="1"/>
  <c r="G201" i="1"/>
  <c r="E201" i="1"/>
  <c r="M204" i="4" l="1"/>
  <c r="N204" i="4"/>
  <c r="K204" i="4"/>
  <c r="E204" i="4"/>
  <c r="J204" i="4"/>
  <c r="F204" i="4"/>
  <c r="H204" i="4"/>
  <c r="B205" i="4"/>
  <c r="G204" i="4"/>
  <c r="L204" i="4"/>
  <c r="D204" i="4"/>
  <c r="I204" i="4"/>
  <c r="F205" i="3"/>
  <c r="E205" i="3"/>
  <c r="B206" i="3"/>
  <c r="D205" i="3"/>
  <c r="E202" i="1"/>
  <c r="G202" i="1"/>
  <c r="F202" i="1"/>
  <c r="D202" i="1"/>
  <c r="H202" i="1"/>
  <c r="N205" i="4" l="1"/>
  <c r="M205" i="4"/>
  <c r="E205" i="4"/>
  <c r="F205" i="4"/>
  <c r="K205" i="4"/>
  <c r="J205" i="4"/>
  <c r="L205" i="4"/>
  <c r="D205" i="4"/>
  <c r="I205" i="4"/>
  <c r="H205" i="4"/>
  <c r="B206" i="4"/>
  <c r="G205" i="4"/>
  <c r="B207" i="3"/>
  <c r="D206" i="3"/>
  <c r="E206" i="3"/>
  <c r="F206" i="3"/>
  <c r="F203" i="1"/>
  <c r="H203" i="1"/>
  <c r="G203" i="1"/>
  <c r="E203" i="1"/>
  <c r="D203" i="1"/>
  <c r="N206" i="4" l="1"/>
  <c r="M206" i="4"/>
  <c r="E206" i="4"/>
  <c r="K206" i="4"/>
  <c r="J206" i="4"/>
  <c r="F206" i="4"/>
  <c r="H206" i="4"/>
  <c r="B207" i="4"/>
  <c r="G206" i="4"/>
  <c r="L206" i="4"/>
  <c r="D206" i="4"/>
  <c r="I206" i="4"/>
  <c r="F207" i="3"/>
  <c r="E207" i="3"/>
  <c r="D207" i="3"/>
  <c r="B208" i="3"/>
  <c r="G204" i="1"/>
  <c r="H204" i="1"/>
  <c r="D204" i="1"/>
  <c r="E204" i="1"/>
  <c r="F204" i="1"/>
  <c r="M207" i="4" l="1"/>
  <c r="N207" i="4"/>
  <c r="E207" i="4"/>
  <c r="K207" i="4"/>
  <c r="J207" i="4"/>
  <c r="F207" i="4"/>
  <c r="L207" i="4"/>
  <c r="D207" i="4"/>
  <c r="I207" i="4"/>
  <c r="H207" i="4"/>
  <c r="B208" i="4"/>
  <c r="G207" i="4"/>
  <c r="B209" i="3"/>
  <c r="D208" i="3"/>
  <c r="F208" i="3"/>
  <c r="E208" i="3"/>
  <c r="D205" i="1"/>
  <c r="F205" i="1"/>
  <c r="H205" i="1"/>
  <c r="G205" i="1"/>
  <c r="E205" i="1"/>
  <c r="N208" i="4" l="1"/>
  <c r="M208" i="4"/>
  <c r="K208" i="4"/>
  <c r="E208" i="4"/>
  <c r="J208" i="4"/>
  <c r="F208" i="4"/>
  <c r="L208" i="4"/>
  <c r="H208" i="4"/>
  <c r="G208" i="4"/>
  <c r="B209" i="4"/>
  <c r="D208" i="4"/>
  <c r="I208" i="4"/>
  <c r="F209" i="3"/>
  <c r="E209" i="3"/>
  <c r="D209" i="3"/>
  <c r="B210" i="3"/>
  <c r="E206" i="1"/>
  <c r="G206" i="1"/>
  <c r="F206" i="1"/>
  <c r="D206" i="1"/>
  <c r="H206" i="1"/>
  <c r="N209" i="4" l="1"/>
  <c r="M209" i="4"/>
  <c r="E209" i="4"/>
  <c r="K209" i="4"/>
  <c r="J209" i="4"/>
  <c r="F209" i="4"/>
  <c r="H209" i="4"/>
  <c r="L209" i="4"/>
  <c r="D209" i="4"/>
  <c r="I209" i="4"/>
  <c r="G209" i="4"/>
  <c r="B210" i="4"/>
  <c r="B211" i="3"/>
  <c r="D210" i="3"/>
  <c r="F210" i="3"/>
  <c r="E210" i="3"/>
  <c r="E207" i="1"/>
  <c r="D207" i="1"/>
  <c r="H207" i="1"/>
  <c r="F207" i="1"/>
  <c r="G207" i="1"/>
  <c r="N210" i="4" l="1"/>
  <c r="M210" i="4"/>
  <c r="E210" i="4"/>
  <c r="K210" i="4"/>
  <c r="J210" i="4"/>
  <c r="F210" i="4"/>
  <c r="L210" i="4"/>
  <c r="D210" i="4"/>
  <c r="H210" i="4"/>
  <c r="B211" i="4"/>
  <c r="I210" i="4"/>
  <c r="G210" i="4"/>
  <c r="F211" i="3"/>
  <c r="E211" i="3"/>
  <c r="B212" i="3"/>
  <c r="D211" i="3"/>
  <c r="H208" i="1"/>
  <c r="G208" i="1"/>
  <c r="E208" i="1"/>
  <c r="D208" i="1"/>
  <c r="F208" i="1"/>
  <c r="N211" i="4" l="1"/>
  <c r="M211" i="4"/>
  <c r="E211" i="4"/>
  <c r="K211" i="4"/>
  <c r="J211" i="4"/>
  <c r="F211" i="4"/>
  <c r="H211" i="4"/>
  <c r="L211" i="4"/>
  <c r="D211" i="4"/>
  <c r="B212" i="4"/>
  <c r="I211" i="4"/>
  <c r="G211" i="4"/>
  <c r="B213" i="3"/>
  <c r="D212" i="3"/>
  <c r="E212" i="3"/>
  <c r="F212" i="3"/>
  <c r="G209" i="1"/>
  <c r="F209" i="1"/>
  <c r="E209" i="1"/>
  <c r="D209" i="1"/>
  <c r="H209" i="1"/>
  <c r="N212" i="4" l="1"/>
  <c r="M212" i="4"/>
  <c r="E212" i="4"/>
  <c r="K212" i="4"/>
  <c r="J212" i="4"/>
  <c r="F212" i="4"/>
  <c r="L212" i="4"/>
  <c r="D212" i="4"/>
  <c r="H212" i="4"/>
  <c r="G212" i="4"/>
  <c r="B213" i="4"/>
  <c r="I212" i="4"/>
  <c r="F213" i="3"/>
  <c r="E213" i="3"/>
  <c r="D213" i="3"/>
  <c r="B214" i="3"/>
  <c r="E210" i="1"/>
  <c r="G210" i="1"/>
  <c r="F210" i="1"/>
  <c r="D210" i="1"/>
  <c r="H210" i="1"/>
  <c r="N213" i="4" l="1"/>
  <c r="M213" i="4"/>
  <c r="E213" i="4"/>
  <c r="K213" i="4"/>
  <c r="F213" i="4"/>
  <c r="J213" i="4"/>
  <c r="H213" i="4"/>
  <c r="L213" i="4"/>
  <c r="D213" i="4"/>
  <c r="I213" i="4"/>
  <c r="G213" i="4"/>
  <c r="B214" i="4"/>
  <c r="B215" i="3"/>
  <c r="D214" i="3"/>
  <c r="F214" i="3"/>
  <c r="E214" i="3"/>
  <c r="E211" i="1"/>
  <c r="H211" i="1"/>
  <c r="D211" i="1"/>
  <c r="G211" i="1"/>
  <c r="F211" i="1"/>
  <c r="N214" i="4" l="1"/>
  <c r="M214" i="4"/>
  <c r="E214" i="4"/>
  <c r="K214" i="4"/>
  <c r="J214" i="4"/>
  <c r="F214" i="4"/>
  <c r="L214" i="4"/>
  <c r="D214" i="4"/>
  <c r="H214" i="4"/>
  <c r="B215" i="4"/>
  <c r="I214" i="4"/>
  <c r="G214" i="4"/>
  <c r="F215" i="3"/>
  <c r="E215" i="3"/>
  <c r="B216" i="3"/>
  <c r="D215" i="3"/>
  <c r="H212" i="1"/>
  <c r="G212" i="1"/>
  <c r="E212" i="1"/>
  <c r="D212" i="1"/>
  <c r="F212" i="1"/>
  <c r="N215" i="4" l="1"/>
  <c r="M215" i="4"/>
  <c r="E215" i="4"/>
  <c r="K215" i="4"/>
  <c r="J215" i="4"/>
  <c r="F215" i="4"/>
  <c r="H215" i="4"/>
  <c r="L215" i="4"/>
  <c r="D215" i="4"/>
  <c r="B216" i="4"/>
  <c r="I215" i="4"/>
  <c r="G215" i="4"/>
  <c r="B217" i="3"/>
  <c r="D216" i="3"/>
  <c r="E216" i="3"/>
  <c r="F216" i="3"/>
  <c r="G213" i="1"/>
  <c r="F213" i="1"/>
  <c r="E213" i="1"/>
  <c r="D213" i="1"/>
  <c r="H213" i="1"/>
  <c r="N216" i="4" l="1"/>
  <c r="M216" i="4"/>
  <c r="K216" i="4"/>
  <c r="J216" i="4"/>
  <c r="E216" i="4"/>
  <c r="F216" i="4"/>
  <c r="L216" i="4"/>
  <c r="D216" i="4"/>
  <c r="H216" i="4"/>
  <c r="G216" i="4"/>
  <c r="B217" i="4"/>
  <c r="I216" i="4"/>
  <c r="F217" i="3"/>
  <c r="E217" i="3"/>
  <c r="D217" i="3"/>
  <c r="B218" i="3"/>
  <c r="E214" i="1"/>
  <c r="G214" i="1"/>
  <c r="F214" i="1"/>
  <c r="D214" i="1"/>
  <c r="H214" i="1"/>
  <c r="N217" i="4" l="1"/>
  <c r="M217" i="4"/>
  <c r="E217" i="4"/>
  <c r="K217" i="4"/>
  <c r="J217" i="4"/>
  <c r="F217" i="4"/>
  <c r="H217" i="4"/>
  <c r="L217" i="4"/>
  <c r="D217" i="4"/>
  <c r="I217" i="4"/>
  <c r="G217" i="4"/>
  <c r="B218" i="4"/>
  <c r="B219" i="3"/>
  <c r="D218" i="3"/>
  <c r="F218" i="3"/>
  <c r="E218" i="3"/>
  <c r="E215" i="1"/>
  <c r="F215" i="1"/>
  <c r="H215" i="1"/>
  <c r="D215" i="1"/>
  <c r="G215" i="1"/>
  <c r="N218" i="4" l="1"/>
  <c r="M218" i="4"/>
  <c r="E218" i="4"/>
  <c r="K218" i="4"/>
  <c r="J218" i="4"/>
  <c r="F218" i="4"/>
  <c r="L218" i="4"/>
  <c r="D218" i="4"/>
  <c r="H218" i="4"/>
  <c r="B219" i="4"/>
  <c r="I218" i="4"/>
  <c r="G218" i="4"/>
  <c r="F219" i="3"/>
  <c r="E219" i="3"/>
  <c r="B220" i="3"/>
  <c r="D219" i="3"/>
  <c r="H216" i="1"/>
  <c r="G216" i="1"/>
  <c r="E216" i="1"/>
  <c r="D216" i="1"/>
  <c r="F216" i="1"/>
  <c r="N219" i="4" l="1"/>
  <c r="M219" i="4"/>
  <c r="E219" i="4"/>
  <c r="K219" i="4"/>
  <c r="J219" i="4"/>
  <c r="F219" i="4"/>
  <c r="H219" i="4"/>
  <c r="L219" i="4"/>
  <c r="D219" i="4"/>
  <c r="B220" i="4"/>
  <c r="I219" i="4"/>
  <c r="G219" i="4"/>
  <c r="B221" i="3"/>
  <c r="D220" i="3"/>
  <c r="E220" i="3"/>
  <c r="F220" i="3"/>
  <c r="E217" i="1"/>
  <c r="F217" i="1"/>
  <c r="G217" i="1"/>
  <c r="D217" i="1"/>
  <c r="H217" i="1"/>
  <c r="M220" i="4" l="1"/>
  <c r="N220" i="4"/>
  <c r="K220" i="4"/>
  <c r="E220" i="4"/>
  <c r="J220" i="4"/>
  <c r="F220" i="4"/>
  <c r="L220" i="4"/>
  <c r="D220" i="4"/>
  <c r="H220" i="4"/>
  <c r="G220" i="4"/>
  <c r="B221" i="4"/>
  <c r="I220" i="4"/>
  <c r="F221" i="3"/>
  <c r="E221" i="3"/>
  <c r="D221" i="3"/>
  <c r="B222" i="3"/>
  <c r="E218" i="1"/>
  <c r="G218" i="1"/>
  <c r="F218" i="1"/>
  <c r="D218" i="1"/>
  <c r="H218" i="1"/>
  <c r="N221" i="4" l="1"/>
  <c r="M221" i="4"/>
  <c r="E221" i="4"/>
  <c r="K221" i="4"/>
  <c r="F221" i="4"/>
  <c r="J221" i="4"/>
  <c r="H221" i="4"/>
  <c r="L221" i="4"/>
  <c r="D221" i="4"/>
  <c r="I221" i="4"/>
  <c r="G221" i="4"/>
  <c r="B222" i="4"/>
  <c r="B223" i="3"/>
  <c r="D222" i="3"/>
  <c r="F222" i="3"/>
  <c r="E222" i="3"/>
  <c r="E219" i="1"/>
  <c r="D219" i="1"/>
  <c r="H219" i="1"/>
  <c r="G219" i="1"/>
  <c r="F219" i="1"/>
  <c r="N222" i="4" l="1"/>
  <c r="M222" i="4"/>
  <c r="E222" i="4"/>
  <c r="K222" i="4"/>
  <c r="J222" i="4"/>
  <c r="F222" i="4"/>
  <c r="L222" i="4"/>
  <c r="D222" i="4"/>
  <c r="H222" i="4"/>
  <c r="B223" i="4"/>
  <c r="I222" i="4"/>
  <c r="G222" i="4"/>
  <c r="F223" i="3"/>
  <c r="E223" i="3"/>
  <c r="B224" i="3"/>
  <c r="D223" i="3"/>
  <c r="H220" i="1"/>
  <c r="G220" i="1"/>
  <c r="E220" i="1"/>
  <c r="D220" i="1"/>
  <c r="F220" i="1"/>
  <c r="M223" i="4" l="1"/>
  <c r="N223" i="4"/>
  <c r="E223" i="4"/>
  <c r="K223" i="4"/>
  <c r="J223" i="4"/>
  <c r="F223" i="4"/>
  <c r="H223" i="4"/>
  <c r="L223" i="4"/>
  <c r="D223" i="4"/>
  <c r="B224" i="4"/>
  <c r="I223" i="4"/>
  <c r="G223" i="4"/>
  <c r="B225" i="3"/>
  <c r="D224" i="3"/>
  <c r="E224" i="3"/>
  <c r="F224" i="3"/>
  <c r="G221" i="1"/>
  <c r="F221" i="1"/>
  <c r="D221" i="1"/>
  <c r="H221" i="1"/>
  <c r="E221" i="1"/>
  <c r="N224" i="4" l="1"/>
  <c r="M224" i="4"/>
  <c r="K224" i="4"/>
  <c r="E224" i="4"/>
  <c r="J224" i="4"/>
  <c r="F224" i="4"/>
  <c r="L224" i="4"/>
  <c r="D224" i="4"/>
  <c r="H224" i="4"/>
  <c r="G224" i="4"/>
  <c r="B225" i="4"/>
  <c r="I224" i="4"/>
  <c r="F225" i="3"/>
  <c r="E225" i="3"/>
  <c r="D225" i="3"/>
  <c r="B226" i="3"/>
  <c r="E222" i="1"/>
  <c r="G222" i="1"/>
  <c r="F222" i="1"/>
  <c r="D222" i="1"/>
  <c r="H222" i="1"/>
  <c r="N225" i="4" l="1"/>
  <c r="M225" i="4"/>
  <c r="E225" i="4"/>
  <c r="K225" i="4"/>
  <c r="J225" i="4"/>
  <c r="F225" i="4"/>
  <c r="H225" i="4"/>
  <c r="L225" i="4"/>
  <c r="D225" i="4"/>
  <c r="I225" i="4"/>
  <c r="G225" i="4"/>
  <c r="B226" i="4"/>
  <c r="B227" i="3"/>
  <c r="D226" i="3"/>
  <c r="F226" i="3"/>
  <c r="E226" i="3"/>
  <c r="E223" i="1"/>
  <c r="D223" i="1"/>
  <c r="H223" i="1"/>
  <c r="F223" i="1"/>
  <c r="G223" i="1"/>
  <c r="N226" i="4" l="1"/>
  <c r="M226" i="4"/>
  <c r="E226" i="4"/>
  <c r="K226" i="4"/>
  <c r="J226" i="4"/>
  <c r="F226" i="4"/>
  <c r="L226" i="4"/>
  <c r="D226" i="4"/>
  <c r="H226" i="4"/>
  <c r="B227" i="4"/>
  <c r="I226" i="4"/>
  <c r="G226" i="4"/>
  <c r="F227" i="3"/>
  <c r="E227" i="3"/>
  <c r="B228" i="3"/>
  <c r="D227" i="3"/>
  <c r="H224" i="1"/>
  <c r="G224" i="1"/>
  <c r="E224" i="1"/>
  <c r="D224" i="1"/>
  <c r="F224" i="1"/>
  <c r="N227" i="4" l="1"/>
  <c r="M227" i="4"/>
  <c r="E227" i="4"/>
  <c r="K227" i="4"/>
  <c r="J227" i="4"/>
  <c r="F227" i="4"/>
  <c r="H227" i="4"/>
  <c r="L227" i="4"/>
  <c r="D227" i="4"/>
  <c r="B228" i="4"/>
  <c r="I227" i="4"/>
  <c r="G227" i="4"/>
  <c r="B229" i="3"/>
  <c r="D228" i="3"/>
  <c r="E228" i="3"/>
  <c r="F228" i="3"/>
  <c r="G225" i="1"/>
  <c r="F225" i="1"/>
  <c r="E225" i="1"/>
  <c r="D225" i="1"/>
  <c r="H225" i="1"/>
  <c r="N228" i="4" l="1"/>
  <c r="M228" i="4"/>
  <c r="E228" i="4"/>
  <c r="K228" i="4"/>
  <c r="J228" i="4"/>
  <c r="F228" i="4"/>
  <c r="L228" i="4"/>
  <c r="D228" i="4"/>
  <c r="H228" i="4"/>
  <c r="G228" i="4"/>
  <c r="B229" i="4"/>
  <c r="I228" i="4"/>
  <c r="F229" i="3"/>
  <c r="E229" i="3"/>
  <c r="D229" i="3"/>
  <c r="B230" i="3"/>
  <c r="E226" i="1"/>
  <c r="G226" i="1"/>
  <c r="F226" i="1"/>
  <c r="D226" i="1"/>
  <c r="H226" i="1"/>
  <c r="N229" i="4" l="1"/>
  <c r="M229" i="4"/>
  <c r="E229" i="4"/>
  <c r="K229" i="4"/>
  <c r="F229" i="4"/>
  <c r="J229" i="4"/>
  <c r="H229" i="4"/>
  <c r="L229" i="4"/>
  <c r="D229" i="4"/>
  <c r="I229" i="4"/>
  <c r="G229" i="4"/>
  <c r="B230" i="4"/>
  <c r="B231" i="3"/>
  <c r="D230" i="3"/>
  <c r="F230" i="3"/>
  <c r="E230" i="3"/>
  <c r="E227" i="1"/>
  <c r="H227" i="1"/>
  <c r="D227" i="1"/>
  <c r="G227" i="1"/>
  <c r="F227" i="1"/>
  <c r="N230" i="4" l="1"/>
  <c r="M230" i="4"/>
  <c r="E230" i="4"/>
  <c r="K230" i="4"/>
  <c r="J230" i="4"/>
  <c r="F230" i="4"/>
  <c r="L230" i="4"/>
  <c r="D230" i="4"/>
  <c r="H230" i="4"/>
  <c r="B231" i="4"/>
  <c r="I230" i="4"/>
  <c r="G230" i="4"/>
  <c r="F231" i="3"/>
  <c r="E231" i="3"/>
  <c r="B232" i="3"/>
  <c r="D231" i="3"/>
  <c r="D228" i="1"/>
  <c r="F228" i="1"/>
  <c r="H228" i="1"/>
  <c r="G228" i="1"/>
  <c r="E228" i="1"/>
  <c r="N231" i="4" l="1"/>
  <c r="M231" i="4"/>
  <c r="E231" i="4"/>
  <c r="K231" i="4"/>
  <c r="J231" i="4"/>
  <c r="F231" i="4"/>
  <c r="H231" i="4"/>
  <c r="L231" i="4"/>
  <c r="D231" i="4"/>
  <c r="B232" i="4"/>
  <c r="I231" i="4"/>
  <c r="G231" i="4"/>
  <c r="B233" i="3"/>
  <c r="D232" i="3"/>
  <c r="E232" i="3"/>
  <c r="F232" i="3"/>
  <c r="F229" i="1"/>
  <c r="E229" i="1"/>
  <c r="H229" i="1"/>
  <c r="G229" i="1"/>
  <c r="D229" i="1"/>
  <c r="N232" i="4" l="1"/>
  <c r="M232" i="4"/>
  <c r="K232" i="4"/>
  <c r="J232" i="4"/>
  <c r="E232" i="4"/>
  <c r="F232" i="4"/>
  <c r="L232" i="4"/>
  <c r="D232" i="4"/>
  <c r="H232" i="4"/>
  <c r="G232" i="4"/>
  <c r="B233" i="4"/>
  <c r="I232" i="4"/>
  <c r="F233" i="3"/>
  <c r="E233" i="3"/>
  <c r="D233" i="3"/>
  <c r="B234" i="3"/>
  <c r="D230" i="1"/>
  <c r="F230" i="1"/>
  <c r="E230" i="1"/>
  <c r="G230" i="1"/>
  <c r="H230" i="1"/>
  <c r="N233" i="4" l="1"/>
  <c r="M233" i="4"/>
  <c r="E233" i="4"/>
  <c r="K233" i="4"/>
  <c r="J233" i="4"/>
  <c r="F233" i="4"/>
  <c r="H233" i="4"/>
  <c r="L233" i="4"/>
  <c r="D233" i="4"/>
  <c r="I233" i="4"/>
  <c r="G233" i="4"/>
  <c r="B234" i="4"/>
  <c r="B235" i="3"/>
  <c r="D234" i="3"/>
  <c r="F234" i="3"/>
  <c r="E234" i="3"/>
  <c r="D231" i="1"/>
  <c r="F231" i="1"/>
  <c r="G231" i="1"/>
  <c r="E231" i="1"/>
  <c r="H231" i="1"/>
  <c r="N234" i="4" l="1"/>
  <c r="M234" i="4"/>
  <c r="E234" i="4"/>
  <c r="K234" i="4"/>
  <c r="J234" i="4"/>
  <c r="F234" i="4"/>
  <c r="L234" i="4"/>
  <c r="D234" i="4"/>
  <c r="H234" i="4"/>
  <c r="B235" i="4"/>
  <c r="I234" i="4"/>
  <c r="G234" i="4"/>
  <c r="F235" i="3"/>
  <c r="E235" i="3"/>
  <c r="B236" i="3"/>
  <c r="D235" i="3"/>
  <c r="D232" i="1"/>
  <c r="F232" i="1"/>
  <c r="H232" i="1"/>
  <c r="G232" i="1"/>
  <c r="E232" i="1"/>
  <c r="N235" i="4" l="1"/>
  <c r="M235" i="4"/>
  <c r="E235" i="4"/>
  <c r="K235" i="4"/>
  <c r="J235" i="4"/>
  <c r="F235" i="4"/>
  <c r="H235" i="4"/>
  <c r="L235" i="4"/>
  <c r="D235" i="4"/>
  <c r="B236" i="4"/>
  <c r="I235" i="4"/>
  <c r="G235" i="4"/>
  <c r="B237" i="3"/>
  <c r="D236" i="3"/>
  <c r="E236" i="3"/>
  <c r="F236" i="3"/>
  <c r="G233" i="1"/>
  <c r="E233" i="1"/>
  <c r="F233" i="1"/>
  <c r="D233" i="1"/>
  <c r="H233" i="1"/>
  <c r="M236" i="4" l="1"/>
  <c r="N236" i="4"/>
  <c r="K236" i="4"/>
  <c r="E236" i="4"/>
  <c r="J236" i="4"/>
  <c r="F236" i="4"/>
  <c r="L236" i="4"/>
  <c r="D236" i="4"/>
  <c r="H236" i="4"/>
  <c r="G236" i="4"/>
  <c r="B237" i="4"/>
  <c r="I236" i="4"/>
  <c r="F237" i="3"/>
  <c r="E237" i="3"/>
  <c r="D237" i="3"/>
  <c r="B238" i="3"/>
  <c r="H234" i="1"/>
  <c r="F234" i="1"/>
  <c r="E234" i="1"/>
  <c r="G234" i="1"/>
  <c r="D234" i="1"/>
  <c r="N237" i="4" l="1"/>
  <c r="M237" i="4"/>
  <c r="E237" i="4"/>
  <c r="F237" i="4"/>
  <c r="J237" i="4"/>
  <c r="K237" i="4"/>
  <c r="H237" i="4"/>
  <c r="L237" i="4"/>
  <c r="D237" i="4"/>
  <c r="I237" i="4"/>
  <c r="G237" i="4"/>
  <c r="B238" i="4"/>
  <c r="B239" i="3"/>
  <c r="D238" i="3"/>
  <c r="F238" i="3"/>
  <c r="E238" i="3"/>
  <c r="D235" i="1"/>
  <c r="F235" i="1"/>
  <c r="G235" i="1"/>
  <c r="H235" i="1"/>
  <c r="E235" i="1"/>
  <c r="N238" i="4" l="1"/>
  <c r="M238" i="4"/>
  <c r="E238" i="4"/>
  <c r="K238" i="4"/>
  <c r="J238" i="4"/>
  <c r="F238" i="4"/>
  <c r="L238" i="4"/>
  <c r="D238" i="4"/>
  <c r="H238" i="4"/>
  <c r="B239" i="4"/>
  <c r="I238" i="4"/>
  <c r="G238" i="4"/>
  <c r="F239" i="3"/>
  <c r="E239" i="3"/>
  <c r="B240" i="3"/>
  <c r="D239" i="3"/>
  <c r="D236" i="1"/>
  <c r="F236" i="1"/>
  <c r="H236" i="1"/>
  <c r="G236" i="1"/>
  <c r="E236" i="1"/>
  <c r="M239" i="4" l="1"/>
  <c r="N239" i="4"/>
  <c r="E239" i="4"/>
  <c r="K239" i="4"/>
  <c r="J239" i="4"/>
  <c r="F239" i="4"/>
  <c r="H239" i="4"/>
  <c r="L239" i="4"/>
  <c r="D239" i="4"/>
  <c r="B240" i="4"/>
  <c r="I239" i="4"/>
  <c r="G239" i="4"/>
  <c r="B241" i="3"/>
  <c r="D240" i="3"/>
  <c r="E240" i="3"/>
  <c r="F240" i="3"/>
  <c r="F237" i="1"/>
  <c r="E237" i="1"/>
  <c r="G237" i="1"/>
  <c r="D237" i="1"/>
  <c r="H237" i="1"/>
  <c r="N240" i="4" l="1"/>
  <c r="M240" i="4"/>
  <c r="K240" i="4"/>
  <c r="E240" i="4"/>
  <c r="J240" i="4"/>
  <c r="F240" i="4"/>
  <c r="L240" i="4"/>
  <c r="D240" i="4"/>
  <c r="H240" i="4"/>
  <c r="G240" i="4"/>
  <c r="B241" i="4"/>
  <c r="I240" i="4"/>
  <c r="F241" i="3"/>
  <c r="E241" i="3"/>
  <c r="D241" i="3"/>
  <c r="B242" i="3"/>
  <c r="H238" i="1"/>
  <c r="F238" i="1"/>
  <c r="E238" i="1"/>
  <c r="G238" i="1"/>
  <c r="D238" i="1"/>
  <c r="N241" i="4" l="1"/>
  <c r="M241" i="4"/>
  <c r="E241" i="4"/>
  <c r="K241" i="4"/>
  <c r="J241" i="4"/>
  <c r="F241" i="4"/>
  <c r="H241" i="4"/>
  <c r="L241" i="4"/>
  <c r="D241" i="4"/>
  <c r="I241" i="4"/>
  <c r="G241" i="4"/>
  <c r="B242" i="4"/>
  <c r="B243" i="3"/>
  <c r="D242" i="3"/>
  <c r="F242" i="3"/>
  <c r="E242" i="3"/>
  <c r="D239" i="1"/>
  <c r="H239" i="1"/>
  <c r="G239" i="1"/>
  <c r="E239" i="1"/>
  <c r="F239" i="1"/>
  <c r="N242" i="4" l="1"/>
  <c r="M242" i="4"/>
  <c r="E242" i="4"/>
  <c r="K242" i="4"/>
  <c r="J242" i="4"/>
  <c r="F242" i="4"/>
  <c r="L242" i="4"/>
  <c r="D242" i="4"/>
  <c r="H242" i="4"/>
  <c r="B243" i="4"/>
  <c r="I242" i="4"/>
  <c r="G242" i="4"/>
  <c r="F243" i="3"/>
  <c r="E243" i="3"/>
  <c r="B244" i="3"/>
  <c r="D243" i="3"/>
  <c r="D240" i="1"/>
  <c r="F240" i="1"/>
  <c r="H240" i="1"/>
  <c r="G240" i="1"/>
  <c r="E240" i="1"/>
  <c r="N243" i="4" l="1"/>
  <c r="M243" i="4"/>
  <c r="E243" i="4"/>
  <c r="K243" i="4"/>
  <c r="J243" i="4"/>
  <c r="F243" i="4"/>
  <c r="H243" i="4"/>
  <c r="L243" i="4"/>
  <c r="D243" i="4"/>
  <c r="B244" i="4"/>
  <c r="I243" i="4"/>
  <c r="G243" i="4"/>
  <c r="B245" i="3"/>
  <c r="D244" i="3"/>
  <c r="E244" i="3"/>
  <c r="F244" i="3"/>
  <c r="F241" i="1"/>
  <c r="E241" i="1"/>
  <c r="H241" i="1"/>
  <c r="G241" i="1"/>
  <c r="D241" i="1"/>
  <c r="N244" i="4" l="1"/>
  <c r="M244" i="4"/>
  <c r="E244" i="4"/>
  <c r="K244" i="4"/>
  <c r="J244" i="4"/>
  <c r="F244" i="4"/>
  <c r="L244" i="4"/>
  <c r="D244" i="4"/>
  <c r="H244" i="4"/>
  <c r="G244" i="4"/>
  <c r="B245" i="4"/>
  <c r="I244" i="4"/>
  <c r="F245" i="3"/>
  <c r="E245" i="3"/>
  <c r="D245" i="3"/>
  <c r="B246" i="3"/>
  <c r="F242" i="1"/>
  <c r="G242" i="1"/>
  <c r="E242" i="1"/>
  <c r="H242" i="1"/>
  <c r="D242" i="1"/>
  <c r="N245" i="4" l="1"/>
  <c r="M245" i="4"/>
  <c r="E245" i="4"/>
  <c r="K245" i="4"/>
  <c r="F245" i="4"/>
  <c r="J245" i="4"/>
  <c r="H245" i="4"/>
  <c r="L245" i="4"/>
  <c r="D245" i="4"/>
  <c r="I245" i="4"/>
  <c r="G245" i="4"/>
  <c r="B246" i="4"/>
  <c r="B247" i="3"/>
  <c r="D246" i="3"/>
  <c r="F246" i="3"/>
  <c r="E246" i="3"/>
  <c r="G243" i="1"/>
  <c r="D243" i="1"/>
  <c r="H243" i="1"/>
  <c r="E243" i="1"/>
  <c r="F243" i="1"/>
  <c r="N246" i="4" l="1"/>
  <c r="M246" i="4"/>
  <c r="E246" i="4"/>
  <c r="K246" i="4"/>
  <c r="J246" i="4"/>
  <c r="F246" i="4"/>
  <c r="L246" i="4"/>
  <c r="D246" i="4"/>
  <c r="H246" i="4"/>
  <c r="B247" i="4"/>
  <c r="I246" i="4"/>
  <c r="G246" i="4"/>
  <c r="F247" i="3"/>
  <c r="E247" i="3"/>
  <c r="B248" i="3"/>
  <c r="D247" i="3"/>
  <c r="H244" i="1"/>
  <c r="E244" i="1"/>
  <c r="G244" i="1"/>
  <c r="D244" i="1"/>
  <c r="F244" i="1"/>
  <c r="N247" i="4" l="1"/>
  <c r="M247" i="4"/>
  <c r="E247" i="4"/>
  <c r="K247" i="4"/>
  <c r="J247" i="4"/>
  <c r="F247" i="4"/>
  <c r="H247" i="4"/>
  <c r="L247" i="4"/>
  <c r="D247" i="4"/>
  <c r="B248" i="4"/>
  <c r="I247" i="4"/>
  <c r="G247" i="4"/>
  <c r="B249" i="3"/>
  <c r="D248" i="3"/>
  <c r="E248" i="3"/>
  <c r="F248" i="3"/>
  <c r="F245" i="1"/>
  <c r="E245" i="1"/>
  <c r="G245" i="1"/>
  <c r="D245" i="1"/>
  <c r="H245" i="1"/>
  <c r="N248" i="4" l="1"/>
  <c r="M248" i="4"/>
  <c r="K248" i="4"/>
  <c r="E248" i="4"/>
  <c r="J248" i="4"/>
  <c r="F248" i="4"/>
  <c r="L248" i="4"/>
  <c r="D248" i="4"/>
  <c r="H248" i="4"/>
  <c r="G248" i="4"/>
  <c r="B249" i="4"/>
  <c r="I248" i="4"/>
  <c r="F249" i="3"/>
  <c r="E249" i="3"/>
  <c r="D249" i="3"/>
  <c r="B250" i="3"/>
  <c r="G246" i="1"/>
  <c r="D246" i="1"/>
  <c r="E246" i="1"/>
  <c r="H246" i="1"/>
  <c r="F246" i="1"/>
  <c r="N249" i="4" l="1"/>
  <c r="M249" i="4"/>
  <c r="E249" i="4"/>
  <c r="K249" i="4"/>
  <c r="J249" i="4"/>
  <c r="F249" i="4"/>
  <c r="H249" i="4"/>
  <c r="L249" i="4"/>
  <c r="D249" i="4"/>
  <c r="I249" i="4"/>
  <c r="G249" i="4"/>
  <c r="B250" i="4"/>
  <c r="F250" i="3"/>
  <c r="D250" i="3"/>
  <c r="B251" i="3"/>
  <c r="E250" i="3"/>
  <c r="G247" i="1"/>
  <c r="H247" i="1"/>
  <c r="F247" i="1"/>
  <c r="E247" i="1"/>
  <c r="D247" i="1"/>
  <c r="N250" i="4" l="1"/>
  <c r="M250" i="4"/>
  <c r="E250" i="4"/>
  <c r="K250" i="4"/>
  <c r="J250" i="4"/>
  <c r="F250" i="4"/>
  <c r="H250" i="4"/>
  <c r="L250" i="4"/>
  <c r="D250" i="4"/>
  <c r="G250" i="4"/>
  <c r="B251" i="4"/>
  <c r="I250" i="4"/>
  <c r="B252" i="3"/>
  <c r="D251" i="3"/>
  <c r="E251" i="3"/>
  <c r="F251" i="3"/>
  <c r="D248" i="1"/>
  <c r="H248" i="1"/>
  <c r="G248" i="1"/>
  <c r="E248" i="1"/>
  <c r="F248" i="1"/>
  <c r="N251" i="4" l="1"/>
  <c r="M251" i="4"/>
  <c r="E251" i="4"/>
  <c r="K251" i="4"/>
  <c r="J251" i="4"/>
  <c r="F251" i="4"/>
  <c r="L251" i="4"/>
  <c r="D251" i="4"/>
  <c r="H251" i="4"/>
  <c r="I251" i="4"/>
  <c r="B252" i="4"/>
  <c r="G251" i="4"/>
  <c r="F252" i="3"/>
  <c r="B253" i="3"/>
  <c r="E252" i="3"/>
  <c r="D252" i="3"/>
  <c r="G249" i="1"/>
  <c r="E249" i="1"/>
  <c r="H249" i="1"/>
  <c r="D249" i="1"/>
  <c r="F249" i="1"/>
  <c r="M252" i="4" l="1"/>
  <c r="N252" i="4"/>
  <c r="K252" i="4"/>
  <c r="E252" i="4"/>
  <c r="J252" i="4"/>
  <c r="F252" i="4"/>
  <c r="H252" i="4"/>
  <c r="L252" i="4"/>
  <c r="D252" i="4"/>
  <c r="B253" i="4"/>
  <c r="G252" i="4"/>
  <c r="I252" i="4"/>
  <c r="B254" i="3"/>
  <c r="D253" i="3"/>
  <c r="F253" i="3"/>
  <c r="E253" i="3"/>
  <c r="G250" i="1"/>
  <c r="D250" i="1"/>
  <c r="E250" i="1"/>
  <c r="H250" i="1"/>
  <c r="F250" i="1"/>
  <c r="N253" i="4" l="1"/>
  <c r="M253" i="4"/>
  <c r="E253" i="4"/>
  <c r="K253" i="4"/>
  <c r="F253" i="4"/>
  <c r="J253" i="4"/>
  <c r="L253" i="4"/>
  <c r="D253" i="4"/>
  <c r="H253" i="4"/>
  <c r="I253" i="4"/>
  <c r="B254" i="4"/>
  <c r="G253" i="4"/>
  <c r="F254" i="3"/>
  <c r="B255" i="3"/>
  <c r="E254" i="3"/>
  <c r="D254" i="3"/>
  <c r="E251" i="1"/>
  <c r="D251" i="1"/>
  <c r="F251" i="1"/>
  <c r="G251" i="1"/>
  <c r="H251" i="1"/>
  <c r="N254" i="4" l="1"/>
  <c r="M254" i="4"/>
  <c r="E254" i="4"/>
  <c r="K254" i="4"/>
  <c r="J254" i="4"/>
  <c r="F254" i="4"/>
  <c r="H254" i="4"/>
  <c r="L254" i="4"/>
  <c r="D254" i="4"/>
  <c r="G254" i="4"/>
  <c r="B255" i="4"/>
  <c r="I254" i="4"/>
  <c r="B256" i="3"/>
  <c r="D255" i="3"/>
  <c r="E255" i="3"/>
  <c r="F255" i="3"/>
  <c r="F252" i="1"/>
  <c r="G252" i="1"/>
  <c r="D252" i="1"/>
  <c r="H252" i="1"/>
  <c r="E252" i="1"/>
  <c r="M255" i="4" l="1"/>
  <c r="N255" i="4"/>
  <c r="E255" i="4"/>
  <c r="K255" i="4"/>
  <c r="J255" i="4"/>
  <c r="F255" i="4"/>
  <c r="L255" i="4"/>
  <c r="D255" i="4"/>
  <c r="H255" i="4"/>
  <c r="I255" i="4"/>
  <c r="B256" i="4"/>
  <c r="G255" i="4"/>
  <c r="F256" i="3"/>
  <c r="B257" i="3"/>
  <c r="E256" i="3"/>
  <c r="D256" i="3"/>
  <c r="G253" i="1"/>
  <c r="F253" i="1"/>
  <c r="D253" i="1"/>
  <c r="H253" i="1"/>
  <c r="E253" i="1"/>
  <c r="N256" i="4" l="1"/>
  <c r="M256" i="4"/>
  <c r="K256" i="4"/>
  <c r="E256" i="4"/>
  <c r="J256" i="4"/>
  <c r="F256" i="4"/>
  <c r="H256" i="4"/>
  <c r="L256" i="4"/>
  <c r="D256" i="4"/>
  <c r="B257" i="4"/>
  <c r="G256" i="4"/>
  <c r="I256" i="4"/>
  <c r="B258" i="3"/>
  <c r="D257" i="3"/>
  <c r="F257" i="3"/>
  <c r="E257" i="3"/>
  <c r="F254" i="1"/>
  <c r="H254" i="1"/>
  <c r="D254" i="1"/>
  <c r="G254" i="1"/>
  <c r="E254" i="1"/>
  <c r="N257" i="4" l="1"/>
  <c r="M257" i="4"/>
  <c r="E257" i="4"/>
  <c r="K257" i="4"/>
  <c r="J257" i="4"/>
  <c r="F257" i="4"/>
  <c r="L257" i="4"/>
  <c r="D257" i="4"/>
  <c r="H257" i="4"/>
  <c r="I257" i="4"/>
  <c r="G257" i="4"/>
  <c r="B258" i="4"/>
  <c r="F258" i="3"/>
  <c r="B259" i="3"/>
  <c r="D258" i="3"/>
  <c r="E258" i="3"/>
  <c r="E255" i="1"/>
  <c r="D255" i="1"/>
  <c r="F255" i="1"/>
  <c r="G255" i="1"/>
  <c r="H255" i="1"/>
  <c r="N258" i="4" l="1"/>
  <c r="M258" i="4"/>
  <c r="E258" i="4"/>
  <c r="K258" i="4"/>
  <c r="J258" i="4"/>
  <c r="F258" i="4"/>
  <c r="H258" i="4"/>
  <c r="L258" i="4"/>
  <c r="D258" i="4"/>
  <c r="G258" i="4"/>
  <c r="B259" i="4"/>
  <c r="I258" i="4"/>
  <c r="B260" i="3"/>
  <c r="D259" i="3"/>
  <c r="F259" i="3"/>
  <c r="E259" i="3"/>
  <c r="F256" i="1"/>
  <c r="G256" i="1"/>
  <c r="D256" i="1"/>
  <c r="H256" i="1"/>
  <c r="E256" i="1"/>
  <c r="N259" i="4" l="1"/>
  <c r="M259" i="4"/>
  <c r="E259" i="4"/>
  <c r="K259" i="4"/>
  <c r="J259" i="4"/>
  <c r="F259" i="4"/>
  <c r="L259" i="4"/>
  <c r="D259" i="4"/>
  <c r="H259" i="4"/>
  <c r="I259" i="4"/>
  <c r="B260" i="4"/>
  <c r="G259" i="4"/>
  <c r="F260" i="3"/>
  <c r="B261" i="3"/>
  <c r="D260" i="3"/>
  <c r="E260" i="3"/>
  <c r="D257" i="1"/>
  <c r="F257" i="1"/>
  <c r="H257" i="1"/>
  <c r="G257" i="1"/>
  <c r="E257" i="1"/>
  <c r="N260" i="4" l="1"/>
  <c r="M260" i="4"/>
  <c r="E260" i="4"/>
  <c r="K260" i="4"/>
  <c r="J260" i="4"/>
  <c r="F260" i="4"/>
  <c r="H260" i="4"/>
  <c r="L260" i="4"/>
  <c r="D260" i="4"/>
  <c r="B261" i="4"/>
  <c r="G260" i="4"/>
  <c r="I260" i="4"/>
  <c r="B262" i="3"/>
  <c r="D261" i="3"/>
  <c r="F261" i="3"/>
  <c r="E261" i="3"/>
  <c r="H258" i="1"/>
  <c r="D258" i="1"/>
  <c r="G258" i="1"/>
  <c r="F258" i="1"/>
  <c r="E258" i="1"/>
  <c r="N261" i="4" l="1"/>
  <c r="M261" i="4"/>
  <c r="E261" i="4"/>
  <c r="K261" i="4"/>
  <c r="F261" i="4"/>
  <c r="J261" i="4"/>
  <c r="L261" i="4"/>
  <c r="D261" i="4"/>
  <c r="H261" i="4"/>
  <c r="I261" i="4"/>
  <c r="B262" i="4"/>
  <c r="G261" i="4"/>
  <c r="F262" i="3"/>
  <c r="B263" i="3"/>
  <c r="D262" i="3"/>
  <c r="E262" i="3"/>
  <c r="E259" i="1"/>
  <c r="D259" i="1"/>
  <c r="F259" i="1"/>
  <c r="H259" i="1"/>
  <c r="G259" i="1"/>
  <c r="N262" i="4" l="1"/>
  <c r="M262" i="4"/>
  <c r="E262" i="4"/>
  <c r="K262" i="4"/>
  <c r="J262" i="4"/>
  <c r="F262" i="4"/>
  <c r="H262" i="4"/>
  <c r="L262" i="4"/>
  <c r="D262" i="4"/>
  <c r="G262" i="4"/>
  <c r="B263" i="4"/>
  <c r="I262" i="4"/>
  <c r="B264" i="3"/>
  <c r="D263" i="3"/>
  <c r="F263" i="3"/>
  <c r="E263" i="3"/>
  <c r="F260" i="1"/>
  <c r="E260" i="1"/>
  <c r="D260" i="1"/>
  <c r="H260" i="1"/>
  <c r="G260" i="1"/>
  <c r="M263" i="4" l="1"/>
  <c r="N263" i="4"/>
  <c r="E263" i="4"/>
  <c r="K263" i="4"/>
  <c r="J263" i="4"/>
  <c r="F263" i="4"/>
  <c r="L263" i="4"/>
  <c r="D263" i="4"/>
  <c r="H263" i="4"/>
  <c r="I263" i="4"/>
  <c r="B264" i="4"/>
  <c r="G263" i="4"/>
  <c r="F264" i="3"/>
  <c r="B265" i="3"/>
  <c r="D264" i="3"/>
  <c r="E264" i="3"/>
  <c r="G261" i="1"/>
  <c r="F261" i="1"/>
  <c r="D261" i="1"/>
  <c r="H261" i="1"/>
  <c r="E261" i="1"/>
  <c r="M264" i="4" l="1"/>
  <c r="N264" i="4"/>
  <c r="K264" i="4"/>
  <c r="J264" i="4"/>
  <c r="F264" i="4"/>
  <c r="E264" i="4"/>
  <c r="H264" i="4"/>
  <c r="L264" i="4"/>
  <c r="D264" i="4"/>
  <c r="B265" i="4"/>
  <c r="G264" i="4"/>
  <c r="I264" i="4"/>
  <c r="B266" i="3"/>
  <c r="D265" i="3"/>
  <c r="F265" i="3"/>
  <c r="E265" i="3"/>
  <c r="H262" i="1"/>
  <c r="D262" i="1"/>
  <c r="G262" i="1"/>
  <c r="F262" i="1"/>
  <c r="E262" i="1"/>
  <c r="N265" i="4" l="1"/>
  <c r="M265" i="4"/>
  <c r="E265" i="4"/>
  <c r="K265" i="4"/>
  <c r="J265" i="4"/>
  <c r="F265" i="4"/>
  <c r="L265" i="4"/>
  <c r="D265" i="4"/>
  <c r="H265" i="4"/>
  <c r="I265" i="4"/>
  <c r="G265" i="4"/>
  <c r="B266" i="4"/>
  <c r="F266" i="3"/>
  <c r="B267" i="3"/>
  <c r="D266" i="3"/>
  <c r="E266" i="3"/>
  <c r="E263" i="1"/>
  <c r="D263" i="1"/>
  <c r="F263" i="1"/>
  <c r="H263" i="1"/>
  <c r="G263" i="1"/>
  <c r="N266" i="4" l="1"/>
  <c r="M266" i="4"/>
  <c r="E266" i="4"/>
  <c r="K266" i="4"/>
  <c r="J266" i="4"/>
  <c r="F266" i="4"/>
  <c r="H266" i="4"/>
  <c r="L266" i="4"/>
  <c r="D266" i="4"/>
  <c r="G266" i="4"/>
  <c r="B267" i="4"/>
  <c r="I266" i="4"/>
  <c r="B268" i="3"/>
  <c r="D267" i="3"/>
  <c r="F267" i="3"/>
  <c r="E267" i="3"/>
  <c r="F264" i="1"/>
  <c r="D264" i="1"/>
  <c r="H264" i="1"/>
  <c r="E264" i="1"/>
  <c r="G264" i="1"/>
  <c r="M267" i="4" l="1"/>
  <c r="N267" i="4"/>
  <c r="E267" i="4"/>
  <c r="K267" i="4"/>
  <c r="J267" i="4"/>
  <c r="F267" i="4"/>
  <c r="L267" i="4"/>
  <c r="D267" i="4"/>
  <c r="H267" i="4"/>
  <c r="I267" i="4"/>
  <c r="B268" i="4"/>
  <c r="G267" i="4"/>
  <c r="F268" i="3"/>
  <c r="B269" i="3"/>
  <c r="D268" i="3"/>
  <c r="E268" i="3"/>
  <c r="G265" i="1"/>
  <c r="F265" i="1"/>
  <c r="D265" i="1"/>
  <c r="H265" i="1"/>
  <c r="E265" i="1"/>
  <c r="M268" i="4" l="1"/>
  <c r="N268" i="4"/>
  <c r="K268" i="4"/>
  <c r="E268" i="4"/>
  <c r="J268" i="4"/>
  <c r="F268" i="4"/>
  <c r="H268" i="4"/>
  <c r="L268" i="4"/>
  <c r="D268" i="4"/>
  <c r="B269" i="4"/>
  <c r="G268" i="4"/>
  <c r="I268" i="4"/>
  <c r="B270" i="3"/>
  <c r="D269" i="3"/>
  <c r="F269" i="3"/>
  <c r="E269" i="3"/>
  <c r="D266" i="1"/>
  <c r="H266" i="1"/>
  <c r="G266" i="1"/>
  <c r="F266" i="1"/>
  <c r="E266" i="1"/>
  <c r="N269" i="4" l="1"/>
  <c r="M269" i="4"/>
  <c r="E269" i="4"/>
  <c r="K269" i="4"/>
  <c r="F269" i="4"/>
  <c r="J269" i="4"/>
  <c r="L269" i="4"/>
  <c r="D269" i="4"/>
  <c r="H269" i="4"/>
  <c r="I269" i="4"/>
  <c r="B270" i="4"/>
  <c r="G269" i="4"/>
  <c r="F270" i="3"/>
  <c r="B271" i="3"/>
  <c r="D270" i="3"/>
  <c r="E270" i="3"/>
  <c r="E267" i="1"/>
  <c r="D267" i="1"/>
  <c r="F267" i="1"/>
  <c r="G267" i="1"/>
  <c r="H267" i="1"/>
  <c r="N270" i="4" l="1"/>
  <c r="M270" i="4"/>
  <c r="E270" i="4"/>
  <c r="K270" i="4"/>
  <c r="J270" i="4"/>
  <c r="F270" i="4"/>
  <c r="H270" i="4"/>
  <c r="L270" i="4"/>
  <c r="D270" i="4"/>
  <c r="G270" i="4"/>
  <c r="B271" i="4"/>
  <c r="I270" i="4"/>
  <c r="B272" i="3"/>
  <c r="D271" i="3"/>
  <c r="F271" i="3"/>
  <c r="E271" i="3"/>
  <c r="F268" i="1"/>
  <c r="E268" i="1"/>
  <c r="D268" i="1"/>
  <c r="H268" i="1"/>
  <c r="G268" i="1"/>
  <c r="M271" i="4" l="1"/>
  <c r="N271" i="4"/>
  <c r="E271" i="4"/>
  <c r="K271" i="4"/>
  <c r="J271" i="4"/>
  <c r="F271" i="4"/>
  <c r="L271" i="4"/>
  <c r="D271" i="4"/>
  <c r="H271" i="4"/>
  <c r="I271" i="4"/>
  <c r="B272" i="4"/>
  <c r="G271" i="4"/>
  <c r="F272" i="3"/>
  <c r="B273" i="3"/>
  <c r="D272" i="3"/>
  <c r="E272" i="3"/>
  <c r="D269" i="1"/>
  <c r="F269" i="1"/>
  <c r="H269" i="1"/>
  <c r="G269" i="1"/>
  <c r="E269" i="1"/>
  <c r="M272" i="4" l="1"/>
  <c r="N272" i="4"/>
  <c r="K272" i="4"/>
  <c r="E272" i="4"/>
  <c r="J272" i="4"/>
  <c r="F272" i="4"/>
  <c r="H272" i="4"/>
  <c r="L272" i="4"/>
  <c r="D272" i="4"/>
  <c r="B273" i="4"/>
  <c r="G272" i="4"/>
  <c r="I272" i="4"/>
  <c r="B274" i="3"/>
  <c r="D273" i="3"/>
  <c r="F273" i="3"/>
  <c r="E273" i="3"/>
  <c r="F270" i="1"/>
  <c r="H270" i="1"/>
  <c r="D270" i="1"/>
  <c r="G270" i="1"/>
  <c r="E270" i="1"/>
  <c r="N273" i="4" l="1"/>
  <c r="M273" i="4"/>
  <c r="E273" i="4"/>
  <c r="K273" i="4"/>
  <c r="J273" i="4"/>
  <c r="F273" i="4"/>
  <c r="L273" i="4"/>
  <c r="D273" i="4"/>
  <c r="H273" i="4"/>
  <c r="I273" i="4"/>
  <c r="G273" i="4"/>
  <c r="B274" i="4"/>
  <c r="F274" i="3"/>
  <c r="B275" i="3"/>
  <c r="D274" i="3"/>
  <c r="E274" i="3"/>
  <c r="E271" i="1"/>
  <c r="D271" i="1"/>
  <c r="F271" i="1"/>
  <c r="G271" i="1"/>
  <c r="H271" i="1"/>
  <c r="N274" i="4" l="1"/>
  <c r="M274" i="4"/>
  <c r="E274" i="4"/>
  <c r="K274" i="4"/>
  <c r="J274" i="4"/>
  <c r="F274" i="4"/>
  <c r="H274" i="4"/>
  <c r="L274" i="4"/>
  <c r="D274" i="4"/>
  <c r="G274" i="4"/>
  <c r="B275" i="4"/>
  <c r="I274" i="4"/>
  <c r="B276" i="3"/>
  <c r="D275" i="3"/>
  <c r="F275" i="3"/>
  <c r="E275" i="3"/>
  <c r="F272" i="1"/>
  <c r="G272" i="1"/>
  <c r="H272" i="1"/>
  <c r="E272" i="1"/>
  <c r="D272" i="1"/>
  <c r="M275" i="4" l="1"/>
  <c r="N275" i="4"/>
  <c r="E275" i="4"/>
  <c r="J275" i="4"/>
  <c r="F275" i="4"/>
  <c r="K275" i="4"/>
  <c r="L275" i="4"/>
  <c r="D275" i="4"/>
  <c r="H275" i="4"/>
  <c r="I275" i="4"/>
  <c r="B276" i="4"/>
  <c r="G275" i="4"/>
  <c r="F276" i="3"/>
  <c r="B277" i="3"/>
  <c r="D276" i="3"/>
  <c r="E276" i="3"/>
  <c r="G273" i="1"/>
  <c r="F273" i="1"/>
  <c r="D273" i="1"/>
  <c r="H273" i="1"/>
  <c r="E273" i="1"/>
  <c r="M276" i="4" l="1"/>
  <c r="N276" i="4"/>
  <c r="K276" i="4"/>
  <c r="E276" i="4"/>
  <c r="J276" i="4"/>
  <c r="F276" i="4"/>
  <c r="H276" i="4"/>
  <c r="L276" i="4"/>
  <c r="D276" i="4"/>
  <c r="B277" i="4"/>
  <c r="G276" i="4"/>
  <c r="I276" i="4"/>
  <c r="B278" i="3"/>
  <c r="D277" i="3"/>
  <c r="F277" i="3"/>
  <c r="E277" i="3"/>
  <c r="H274" i="1"/>
  <c r="D274" i="1"/>
  <c r="G274" i="1"/>
  <c r="F274" i="1"/>
  <c r="E274" i="1"/>
  <c r="N277" i="4" l="1"/>
  <c r="M277" i="4"/>
  <c r="E277" i="4"/>
  <c r="K277" i="4"/>
  <c r="F277" i="4"/>
  <c r="J277" i="4"/>
  <c r="L277" i="4"/>
  <c r="D277" i="4"/>
  <c r="H277" i="4"/>
  <c r="I277" i="4"/>
  <c r="B278" i="4"/>
  <c r="G277" i="4"/>
  <c r="F278" i="3"/>
  <c r="B279" i="3"/>
  <c r="D278" i="3"/>
  <c r="E278" i="3"/>
  <c r="F275" i="1"/>
  <c r="D275" i="1"/>
  <c r="E275" i="1"/>
  <c r="H275" i="1"/>
  <c r="G275" i="1"/>
  <c r="N278" i="4" l="1"/>
  <c r="M278" i="4"/>
  <c r="E278" i="4"/>
  <c r="K278" i="4"/>
  <c r="J278" i="4"/>
  <c r="F278" i="4"/>
  <c r="H278" i="4"/>
  <c r="L278" i="4"/>
  <c r="D278" i="4"/>
  <c r="G278" i="4"/>
  <c r="B279" i="4"/>
  <c r="I278" i="4"/>
  <c r="B280" i="3"/>
  <c r="D279" i="3"/>
  <c r="F279" i="3"/>
  <c r="E279" i="3"/>
  <c r="D276" i="1"/>
  <c r="F276" i="1"/>
  <c r="E276" i="1"/>
  <c r="H276" i="1"/>
  <c r="G276" i="1"/>
  <c r="M279" i="4" l="1"/>
  <c r="N279" i="4"/>
  <c r="E279" i="4"/>
  <c r="K279" i="4"/>
  <c r="J279" i="4"/>
  <c r="F279" i="4"/>
  <c r="L279" i="4"/>
  <c r="D279" i="4"/>
  <c r="H279" i="4"/>
  <c r="I279" i="4"/>
  <c r="B280" i="4"/>
  <c r="G279" i="4"/>
  <c r="F280" i="3"/>
  <c r="B281" i="3"/>
  <c r="D280" i="3"/>
  <c r="E280" i="3"/>
  <c r="D277" i="1"/>
  <c r="F277" i="1"/>
  <c r="H277" i="1"/>
  <c r="E277" i="1"/>
  <c r="G277" i="1"/>
  <c r="M280" i="4" l="1"/>
  <c r="N280" i="4"/>
  <c r="K280" i="4"/>
  <c r="J280" i="4"/>
  <c r="E280" i="4"/>
  <c r="F280" i="4"/>
  <c r="H280" i="4"/>
  <c r="L280" i="4"/>
  <c r="D280" i="4"/>
  <c r="B281" i="4"/>
  <c r="G280" i="4"/>
  <c r="I280" i="4"/>
  <c r="B282" i="3"/>
  <c r="D281" i="3"/>
  <c r="F281" i="3"/>
  <c r="E281" i="3"/>
  <c r="H278" i="1"/>
  <c r="D278" i="1"/>
  <c r="F278" i="1"/>
  <c r="G278" i="1"/>
  <c r="E278" i="1"/>
  <c r="N281" i="4" l="1"/>
  <c r="M281" i="4"/>
  <c r="E281" i="4"/>
  <c r="K281" i="4"/>
  <c r="J281" i="4"/>
  <c r="F281" i="4"/>
  <c r="B282" i="4"/>
  <c r="G281" i="4"/>
  <c r="L281" i="4"/>
  <c r="D281" i="4"/>
  <c r="I281" i="4"/>
  <c r="H281" i="4"/>
  <c r="F282" i="3"/>
  <c r="B283" i="3"/>
  <c r="D282" i="3"/>
  <c r="E282" i="3"/>
  <c r="H279" i="1"/>
  <c r="D279" i="1"/>
  <c r="F279" i="1"/>
  <c r="G279" i="1"/>
  <c r="E279" i="1"/>
  <c r="N282" i="4" l="1"/>
  <c r="M282" i="4"/>
  <c r="E282" i="4"/>
  <c r="K282" i="4"/>
  <c r="J282" i="4"/>
  <c r="F282" i="4"/>
  <c r="I282" i="4"/>
  <c r="H282" i="4"/>
  <c r="B283" i="4"/>
  <c r="G282" i="4"/>
  <c r="L282" i="4"/>
  <c r="D282" i="4"/>
  <c r="B284" i="3"/>
  <c r="D283" i="3"/>
  <c r="F283" i="3"/>
  <c r="E283" i="3"/>
  <c r="H280" i="1"/>
  <c r="D280" i="1"/>
  <c r="E280" i="1"/>
  <c r="G280" i="1"/>
  <c r="F280" i="1"/>
  <c r="M283" i="4" l="1"/>
  <c r="N283" i="4"/>
  <c r="E283" i="4"/>
  <c r="J283" i="4"/>
  <c r="K283" i="4"/>
  <c r="F283" i="4"/>
  <c r="B284" i="4"/>
  <c r="G283" i="4"/>
  <c r="L283" i="4"/>
  <c r="D283" i="4"/>
  <c r="I283" i="4"/>
  <c r="H283" i="4"/>
  <c r="F284" i="3"/>
  <c r="B285" i="3"/>
  <c r="D284" i="3"/>
  <c r="E284" i="3"/>
  <c r="F281" i="1"/>
  <c r="E281" i="1"/>
  <c r="H281" i="1"/>
  <c r="G281" i="1"/>
  <c r="D281" i="1"/>
  <c r="M284" i="4" l="1"/>
  <c r="N284" i="4"/>
  <c r="K284" i="4"/>
  <c r="E284" i="4"/>
  <c r="J284" i="4"/>
  <c r="F284" i="4"/>
  <c r="I284" i="4"/>
  <c r="H284" i="4"/>
  <c r="B285" i="4"/>
  <c r="G284" i="4"/>
  <c r="L284" i="4"/>
  <c r="D284" i="4"/>
  <c r="B286" i="3"/>
  <c r="D285" i="3"/>
  <c r="F285" i="3"/>
  <c r="E285" i="3"/>
  <c r="E282" i="1"/>
  <c r="F282" i="1"/>
  <c r="G282" i="1"/>
  <c r="H282" i="1"/>
  <c r="D282" i="1"/>
  <c r="N285" i="4" l="1"/>
  <c r="M285" i="4"/>
  <c r="E285" i="4"/>
  <c r="K285" i="4"/>
  <c r="F285" i="4"/>
  <c r="J285" i="4"/>
  <c r="B286" i="4"/>
  <c r="G285" i="4"/>
  <c r="L285" i="4"/>
  <c r="D285" i="4"/>
  <c r="I285" i="4"/>
  <c r="H285" i="4"/>
  <c r="F286" i="3"/>
  <c r="B287" i="3"/>
  <c r="D286" i="3"/>
  <c r="E286" i="3"/>
  <c r="H283" i="1"/>
  <c r="G283" i="1"/>
  <c r="E283" i="1"/>
  <c r="F283" i="1"/>
  <c r="D283" i="1"/>
  <c r="N286" i="4" l="1"/>
  <c r="M286" i="4"/>
  <c r="E286" i="4"/>
  <c r="K286" i="4"/>
  <c r="J286" i="4"/>
  <c r="F286" i="4"/>
  <c r="I286" i="4"/>
  <c r="H286" i="4"/>
  <c r="B287" i="4"/>
  <c r="G286" i="4"/>
  <c r="L286" i="4"/>
  <c r="D286" i="4"/>
  <c r="B288" i="3"/>
  <c r="D287" i="3"/>
  <c r="F287" i="3"/>
  <c r="E287" i="3"/>
  <c r="E284" i="1"/>
  <c r="H284" i="1"/>
  <c r="G284" i="1"/>
  <c r="D284" i="1"/>
  <c r="F284" i="1"/>
  <c r="M287" i="4" l="1"/>
  <c r="N287" i="4"/>
  <c r="E287" i="4"/>
  <c r="K287" i="4"/>
  <c r="J287" i="4"/>
  <c r="F287" i="4"/>
  <c r="B288" i="4"/>
  <c r="G287" i="4"/>
  <c r="L287" i="4"/>
  <c r="D287" i="4"/>
  <c r="I287" i="4"/>
  <c r="H287" i="4"/>
  <c r="F288" i="3"/>
  <c r="B289" i="3"/>
  <c r="D288" i="3"/>
  <c r="E288" i="3"/>
  <c r="F285" i="1"/>
  <c r="E285" i="1"/>
  <c r="D285" i="1"/>
  <c r="H285" i="1"/>
  <c r="G285" i="1"/>
  <c r="M288" i="4" l="1"/>
  <c r="N288" i="4"/>
  <c r="K288" i="4"/>
  <c r="E288" i="4"/>
  <c r="J288" i="4"/>
  <c r="F288" i="4"/>
  <c r="I288" i="4"/>
  <c r="H288" i="4"/>
  <c r="B289" i="4"/>
  <c r="G288" i="4"/>
  <c r="L288" i="4"/>
  <c r="D288" i="4"/>
  <c r="B290" i="3"/>
  <c r="D289" i="3"/>
  <c r="F289" i="3"/>
  <c r="E289" i="3"/>
  <c r="F286" i="1"/>
  <c r="G286" i="1"/>
  <c r="E286" i="1"/>
  <c r="H286" i="1"/>
  <c r="D286" i="1"/>
  <c r="N289" i="4" l="1"/>
  <c r="M289" i="4"/>
  <c r="E289" i="4"/>
  <c r="K289" i="4"/>
  <c r="J289" i="4"/>
  <c r="F289" i="4"/>
  <c r="B290" i="4"/>
  <c r="G289" i="4"/>
  <c r="L289" i="4"/>
  <c r="D289" i="4"/>
  <c r="I289" i="4"/>
  <c r="H289" i="4"/>
  <c r="F290" i="3"/>
  <c r="B291" i="3"/>
  <c r="D290" i="3"/>
  <c r="E290" i="3"/>
  <c r="F287" i="1"/>
  <c r="G287" i="1"/>
  <c r="D287" i="1"/>
  <c r="E287" i="1"/>
  <c r="H287" i="1"/>
  <c r="N290" i="4" l="1"/>
  <c r="M290" i="4"/>
  <c r="E290" i="4"/>
  <c r="K290" i="4"/>
  <c r="J290" i="4"/>
  <c r="F290" i="4"/>
  <c r="I290" i="4"/>
  <c r="H290" i="4"/>
  <c r="B291" i="4"/>
  <c r="G290" i="4"/>
  <c r="L290" i="4"/>
  <c r="D290" i="4"/>
  <c r="B292" i="3"/>
  <c r="D291" i="3"/>
  <c r="F291" i="3"/>
  <c r="E291" i="3"/>
  <c r="H288" i="1"/>
  <c r="F288" i="1"/>
  <c r="E288" i="1"/>
  <c r="G288" i="1"/>
  <c r="D288" i="1"/>
  <c r="M291" i="4" l="1"/>
  <c r="N291" i="4"/>
  <c r="K291" i="4"/>
  <c r="E291" i="4"/>
  <c r="J291" i="4"/>
  <c r="F291" i="4"/>
  <c r="B292" i="4"/>
  <c r="G291" i="4"/>
  <c r="L291" i="4"/>
  <c r="D291" i="4"/>
  <c r="I291" i="4"/>
  <c r="H291" i="4"/>
  <c r="F292" i="3"/>
  <c r="B293" i="3"/>
  <c r="D292" i="3"/>
  <c r="E292" i="3"/>
  <c r="F289" i="1"/>
  <c r="E289" i="1"/>
  <c r="H289" i="1"/>
  <c r="G289" i="1"/>
  <c r="D289" i="1"/>
  <c r="M292" i="4" l="1"/>
  <c r="N292" i="4"/>
  <c r="K292" i="4"/>
  <c r="E292" i="4"/>
  <c r="J292" i="4"/>
  <c r="F292" i="4"/>
  <c r="I292" i="4"/>
  <c r="H292" i="4"/>
  <c r="B293" i="4"/>
  <c r="G292" i="4"/>
  <c r="L292" i="4"/>
  <c r="D292" i="4"/>
  <c r="B294" i="3"/>
  <c r="D293" i="3"/>
  <c r="F293" i="3"/>
  <c r="E293" i="3"/>
  <c r="E290" i="1"/>
  <c r="G290" i="1"/>
  <c r="H290" i="1"/>
  <c r="F290" i="1"/>
  <c r="D290" i="1"/>
  <c r="N293" i="4" l="1"/>
  <c r="M293" i="4"/>
  <c r="E293" i="4"/>
  <c r="K293" i="4"/>
  <c r="F293" i="4"/>
  <c r="J293" i="4"/>
  <c r="B294" i="4"/>
  <c r="G293" i="4"/>
  <c r="L293" i="4"/>
  <c r="D293" i="4"/>
  <c r="I293" i="4"/>
  <c r="H293" i="4"/>
  <c r="F294" i="3"/>
  <c r="B295" i="3"/>
  <c r="D294" i="3"/>
  <c r="E294" i="3"/>
  <c r="H291" i="1"/>
  <c r="E291" i="1"/>
  <c r="D291" i="1"/>
  <c r="F291" i="1"/>
  <c r="G291" i="1"/>
  <c r="N294" i="4" l="1"/>
  <c r="M294" i="4"/>
  <c r="E294" i="4"/>
  <c r="K294" i="4"/>
  <c r="J294" i="4"/>
  <c r="F294" i="4"/>
  <c r="I294" i="4"/>
  <c r="H294" i="4"/>
  <c r="B295" i="4"/>
  <c r="G294" i="4"/>
  <c r="L294" i="4"/>
  <c r="D294" i="4"/>
  <c r="B296" i="3"/>
  <c r="D295" i="3"/>
  <c r="F295" i="3"/>
  <c r="E295" i="3"/>
  <c r="H292" i="1"/>
  <c r="D292" i="1"/>
  <c r="E292" i="1"/>
  <c r="G292" i="1"/>
  <c r="F292" i="1"/>
  <c r="M295" i="4" l="1"/>
  <c r="N295" i="4"/>
  <c r="K295" i="4"/>
  <c r="E295" i="4"/>
  <c r="J295" i="4"/>
  <c r="F295" i="4"/>
  <c r="B296" i="4"/>
  <c r="G295" i="4"/>
  <c r="L295" i="4"/>
  <c r="D295" i="4"/>
  <c r="I295" i="4"/>
  <c r="H295" i="4"/>
  <c r="F296" i="3"/>
  <c r="B297" i="3"/>
  <c r="D296" i="3"/>
  <c r="E296" i="3"/>
  <c r="D293" i="1"/>
  <c r="G293" i="1"/>
  <c r="F293" i="1"/>
  <c r="E293" i="1"/>
  <c r="H293" i="1"/>
  <c r="M296" i="4" l="1"/>
  <c r="N296" i="4"/>
  <c r="K296" i="4"/>
  <c r="J296" i="4"/>
  <c r="E296" i="4"/>
  <c r="F296" i="4"/>
  <c r="I296" i="4"/>
  <c r="H296" i="4"/>
  <c r="B297" i="4"/>
  <c r="G296" i="4"/>
  <c r="L296" i="4"/>
  <c r="D296" i="4"/>
  <c r="B298" i="3"/>
  <c r="D297" i="3"/>
  <c r="F297" i="3"/>
  <c r="E297" i="3"/>
  <c r="G294" i="1"/>
  <c r="E294" i="1"/>
  <c r="H294" i="1"/>
  <c r="D294" i="1"/>
  <c r="F294" i="1"/>
  <c r="N297" i="4" l="1"/>
  <c r="M297" i="4"/>
  <c r="E297" i="4"/>
  <c r="K297" i="4"/>
  <c r="J297" i="4"/>
  <c r="F297" i="4"/>
  <c r="B298" i="4"/>
  <c r="G297" i="4"/>
  <c r="L297" i="4"/>
  <c r="D297" i="4"/>
  <c r="I297" i="4"/>
  <c r="H297" i="4"/>
  <c r="F298" i="3"/>
  <c r="B299" i="3"/>
  <c r="D298" i="3"/>
  <c r="E298" i="3"/>
  <c r="H295" i="1"/>
  <c r="F295" i="1"/>
  <c r="G295" i="1"/>
  <c r="D295" i="1"/>
  <c r="E295" i="1"/>
  <c r="N298" i="4" l="1"/>
  <c r="M298" i="4"/>
  <c r="E298" i="4"/>
  <c r="K298" i="4"/>
  <c r="J298" i="4"/>
  <c r="F298" i="4"/>
  <c r="I298" i="4"/>
  <c r="H298" i="4"/>
  <c r="B299" i="4"/>
  <c r="G298" i="4"/>
  <c r="L298" i="4"/>
  <c r="D298" i="4"/>
  <c r="B300" i="3"/>
  <c r="D299" i="3"/>
  <c r="F299" i="3"/>
  <c r="E299" i="3"/>
  <c r="E296" i="1"/>
  <c r="H296" i="1"/>
  <c r="D296" i="1"/>
  <c r="F296" i="1"/>
  <c r="G296" i="1"/>
  <c r="M299" i="4" l="1"/>
  <c r="N299" i="4"/>
  <c r="K299" i="4"/>
  <c r="E299" i="4"/>
  <c r="J299" i="4"/>
  <c r="F299" i="4"/>
  <c r="B300" i="4"/>
  <c r="G299" i="4"/>
  <c r="L299" i="4"/>
  <c r="D299" i="4"/>
  <c r="I299" i="4"/>
  <c r="H299" i="4"/>
  <c r="F300" i="3"/>
  <c r="B301" i="3"/>
  <c r="D300" i="3"/>
  <c r="E300" i="3"/>
  <c r="F297" i="1"/>
  <c r="G297" i="1"/>
  <c r="E297" i="1"/>
  <c r="H297" i="1"/>
  <c r="D297" i="1"/>
  <c r="M300" i="4" l="1"/>
  <c r="N300" i="4"/>
  <c r="K300" i="4"/>
  <c r="E300" i="4"/>
  <c r="J300" i="4"/>
  <c r="F300" i="4"/>
  <c r="I300" i="4"/>
  <c r="H300" i="4"/>
  <c r="B301" i="4"/>
  <c r="G300" i="4"/>
  <c r="L300" i="4"/>
  <c r="D300" i="4"/>
  <c r="B302" i="3"/>
  <c r="D301" i="3"/>
  <c r="F301" i="3"/>
  <c r="E301" i="3"/>
  <c r="E298" i="1"/>
  <c r="G298" i="1"/>
  <c r="H298" i="1"/>
  <c r="F298" i="1"/>
  <c r="D298" i="1"/>
  <c r="N301" i="4" l="1"/>
  <c r="M301" i="4"/>
  <c r="E301" i="4"/>
  <c r="K301" i="4"/>
  <c r="F301" i="4"/>
  <c r="J301" i="4"/>
  <c r="B302" i="4"/>
  <c r="G301" i="4"/>
  <c r="L301" i="4"/>
  <c r="D301" i="4"/>
  <c r="I301" i="4"/>
  <c r="H301" i="4"/>
  <c r="F302" i="3"/>
  <c r="B303" i="3"/>
  <c r="D302" i="3"/>
  <c r="E302" i="3"/>
  <c r="F299" i="1"/>
  <c r="D299" i="1"/>
  <c r="E299" i="1"/>
  <c r="H299" i="1"/>
  <c r="G299" i="1"/>
  <c r="N302" i="4" l="1"/>
  <c r="M302" i="4"/>
  <c r="E302" i="4"/>
  <c r="K302" i="4"/>
  <c r="J302" i="4"/>
  <c r="F302" i="4"/>
  <c r="I302" i="4"/>
  <c r="H302" i="4"/>
  <c r="B303" i="4"/>
  <c r="G302" i="4"/>
  <c r="L302" i="4"/>
  <c r="D302" i="4"/>
  <c r="B304" i="3"/>
  <c r="D303" i="3"/>
  <c r="F303" i="3"/>
  <c r="E303" i="3"/>
  <c r="H300" i="1"/>
  <c r="E300" i="1"/>
  <c r="G300" i="1"/>
  <c r="D300" i="1"/>
  <c r="F300" i="1"/>
  <c r="M303" i="4" l="1"/>
  <c r="N303" i="4"/>
  <c r="K303" i="4"/>
  <c r="E303" i="4"/>
  <c r="J303" i="4"/>
  <c r="F303" i="4"/>
  <c r="B304" i="4"/>
  <c r="G303" i="4"/>
  <c r="L303" i="4"/>
  <c r="D303" i="4"/>
  <c r="I303" i="4"/>
  <c r="H303" i="4"/>
  <c r="F304" i="3"/>
  <c r="B305" i="3"/>
  <c r="D304" i="3"/>
  <c r="E304" i="3"/>
  <c r="E301" i="1"/>
  <c r="H301" i="1"/>
  <c r="G301" i="1"/>
  <c r="D301" i="1"/>
  <c r="F301" i="1"/>
  <c r="M304" i="4" l="1"/>
  <c r="N304" i="4"/>
  <c r="K304" i="4"/>
  <c r="E304" i="4"/>
  <c r="J304" i="4"/>
  <c r="F304" i="4"/>
  <c r="I304" i="4"/>
  <c r="H304" i="4"/>
  <c r="B305" i="4"/>
  <c r="G304" i="4"/>
  <c r="L304" i="4"/>
  <c r="D304" i="4"/>
  <c r="D305" i="3"/>
  <c r="F305" i="3"/>
  <c r="E305" i="3"/>
  <c r="F302" i="1"/>
  <c r="E302" i="1"/>
  <c r="G302" i="1"/>
  <c r="H302" i="1"/>
  <c r="D302" i="1"/>
  <c r="N305" i="4" l="1"/>
  <c r="M305" i="4"/>
  <c r="E305" i="4"/>
  <c r="K305" i="4"/>
  <c r="J305" i="4"/>
  <c r="F305" i="4"/>
  <c r="G305" i="4"/>
  <c r="L305" i="4"/>
  <c r="D305" i="4"/>
  <c r="I305" i="4"/>
  <c r="H305" i="4"/>
  <c r="G303" i="1"/>
  <c r="E303" i="1"/>
  <c r="H303" i="1"/>
  <c r="D303" i="1"/>
  <c r="F303" i="1"/>
  <c r="G304" i="1" l="1"/>
  <c r="F304" i="1"/>
  <c r="E304" i="1"/>
  <c r="D304" i="1"/>
  <c r="H304" i="1"/>
  <c r="E305" i="1" l="1"/>
  <c r="G305" i="1"/>
  <c r="D305" i="1"/>
  <c r="H305" i="1"/>
  <c r="F305" i="1"/>
</calcChain>
</file>

<file path=xl/sharedStrings.xml><?xml version="1.0" encoding="utf-8"?>
<sst xmlns="http://schemas.openxmlformats.org/spreadsheetml/2006/main" count="392" uniqueCount="131">
  <si>
    <t>a</t>
  </si>
  <si>
    <t>b</t>
  </si>
  <si>
    <t>c</t>
  </si>
  <si>
    <t>d</t>
  </si>
  <si>
    <t>Ok</t>
  </si>
  <si>
    <t>MuyLejos</t>
  </si>
  <si>
    <t>Lejos</t>
  </si>
  <si>
    <t>Cerca</t>
  </si>
  <si>
    <t>MuyCerca</t>
  </si>
  <si>
    <t>SinCambio</t>
  </si>
  <si>
    <t>Mucho</t>
  </si>
  <si>
    <t>Alejándose</t>
  </si>
  <si>
    <t>Acercándose</t>
  </si>
  <si>
    <t>Quanto</t>
  </si>
  <si>
    <t>Vm</t>
  </si>
  <si>
    <t>aRS-dD</t>
  </si>
  <si>
    <t>aRS-pRS</t>
  </si>
  <si>
    <t>Normal</t>
  </si>
  <si>
    <t>P</t>
  </si>
  <si>
    <t>D</t>
  </si>
  <si>
    <t>Left</t>
  </si>
  <si>
    <t>Right</t>
  </si>
  <si>
    <t>Cuando estés muy lejos de la pared</t>
  </si>
  <si>
    <t>Cuando estés lejos de la pared</t>
  </si>
  <si>
    <t>Cuando estés cerca a la pared</t>
  </si>
  <si>
    <t>Cuando estés muy cerca a la pared</t>
  </si>
  <si>
    <t>Cuando estés a la distancia requerida</t>
  </si>
  <si>
    <t>Cuando te estés alejando de la pared</t>
  </si>
  <si>
    <t>Cuando te estés acercando a la pared</t>
  </si>
  <si>
    <t>Cuando no te alejes ni te acerques a la pared</t>
  </si>
  <si>
    <t>gira tu rueda izquierda</t>
  </si>
  <si>
    <t>y gira tu rueda derecha</t>
  </si>
  <si>
    <t>muy rápido hacia atrás</t>
  </si>
  <si>
    <t>más o menos rápido hacia atrás</t>
  </si>
  <si>
    <t>despacito hacia atrás</t>
  </si>
  <si>
    <t>muy lento hacia atrás</t>
  </si>
  <si>
    <t>muy lento hacia delante</t>
  </si>
  <si>
    <t>despacito hacia delante</t>
  </si>
  <si>
    <t>medio rápido hacia delante</t>
  </si>
  <si>
    <t>rápidamente hacia delante</t>
  </si>
  <si>
    <t>bastante rápido hacia delante</t>
  </si>
  <si>
    <t>muy rápido hacia delante</t>
  </si>
  <si>
    <t>bastante rápido hacia atrás</t>
  </si>
  <si>
    <t>pero te estás acercando a ella,</t>
  </si>
  <si>
    <t>pero te estás acercando a la pared,</t>
  </si>
  <si>
    <t>y te estás acercando más a ella,</t>
  </si>
  <si>
    <t>y te estás acercando aun más a ella,</t>
  </si>
  <si>
    <t>pero ni te alejas más ni te acercas a ella,</t>
  </si>
  <si>
    <t>y ni te alejas ni te acercas a ella,</t>
  </si>
  <si>
    <t>pero ni te acercas más ni te alejas de ella,</t>
  </si>
  <si>
    <t>y te estás alejando aun más de ella,</t>
  </si>
  <si>
    <t>y te estás alejando más de ella,</t>
  </si>
  <si>
    <t>pero te estás alejando de la pared,</t>
  </si>
  <si>
    <t>pero te estás alejando de ella,</t>
  </si>
  <si>
    <t>Cuando estés muy lejos de la pared,</t>
  </si>
  <si>
    <t>Cuando estés lejos de la pared,</t>
  </si>
  <si>
    <t>Cuando estés a la distancia requerida,</t>
  </si>
  <si>
    <t>Cuando estés cerca a la pared,</t>
  </si>
  <si>
    <t>Cuando estés muy cerca a la pared,</t>
  </si>
  <si>
    <t>rápidamente hacia delante,</t>
  </si>
  <si>
    <t>medio rápido hacia delante,</t>
  </si>
  <si>
    <t>muy lento hacia atrás,</t>
  </si>
  <si>
    <t>muy rápido hacia atrás,</t>
  </si>
  <si>
    <t>despacito hacia atrás,</t>
  </si>
  <si>
    <t>bastante rápido hacia delante,</t>
  </si>
  <si>
    <t>despacito hacia delante,</t>
  </si>
  <si>
    <t>bastante rápido hacia atrás,</t>
  </si>
  <si>
    <t>muy rápido hacia delante,</t>
  </si>
  <si>
    <t>muy lento hacia delante,</t>
  </si>
  <si>
    <t>muy lento hacia atrás.</t>
  </si>
  <si>
    <t>muy lento hacia delante.</t>
  </si>
  <si>
    <t>rápidamente hacia delante.</t>
  </si>
  <si>
    <t>muy rápido hacia delante.</t>
  </si>
  <si>
    <t>despacito hacia atrás.</t>
  </si>
  <si>
    <t>despacito hacia delante.</t>
  </si>
  <si>
    <t>bastante rápido hacia delante.</t>
  </si>
  <si>
    <t>más o menos rápido hacia atrás.</t>
  </si>
  <si>
    <t>medio rápido hacia delante.</t>
  </si>
  <si>
    <t>P min.</t>
  </si>
  <si>
    <t>D min.</t>
  </si>
  <si>
    <t>D max.</t>
  </si>
  <si>
    <t>P max.</t>
  </si>
  <si>
    <t>L</t>
  </si>
  <si>
    <t>R</t>
  </si>
  <si>
    <t>Categoría</t>
  </si>
  <si>
    <t>alea</t>
  </si>
  <si>
    <t>CAT</t>
  </si>
  <si>
    <t>Cuando estés muy lejos de la pared, pero te estás acercando a ella, gira tu rueda izquierda rápidamente hacia delante, y gira tu rueda derecha muy lento hacia atrás.</t>
  </si>
  <si>
    <t>Cuando estés lejos de la pared, pero te estás acercando a ella, gira tu rueda izquierda medio rápido hacia delante, y gira tu rueda derecha muy lento hacia delante.</t>
  </si>
  <si>
    <t>Cuando estés a la distancia requerida, pero te estás acercando a la pared, gira tu rueda izquierda muy lento hacia atrás, y gira tu rueda derecha rápidamente hacia delante.</t>
  </si>
  <si>
    <t>Cuando estés cerca a la pared, y te estás acercando más a ella, gira tu rueda izquierda muy rápido hacia atrás, y gira tu rueda derecha muy rápido hacia delante.</t>
  </si>
  <si>
    <t>Cuando estés muy cerca a la pared, y te estás acercando aun más a ella, gira tu rueda izquierda despacito hacia atrás, y gira tu rueda derecha despacito hacia atrás.</t>
  </si>
  <si>
    <t>Cuando estés muy lejos de la pared, pero ni te alejas más ni te acercas a ella, gira tu rueda izquierda bastante rápido hacia delante, y gira tu rueda derecha despacito hacia atrás.</t>
  </si>
  <si>
    <t>Cuando estés lejos de la pared, pero ni te alejas más ni te acercas a ella, gira tu rueda izquierda rápidamente hacia delante, y gira tu rueda derecha muy lento hacia atrás.</t>
  </si>
  <si>
    <t>Cuando estés a la distancia requerida, y ni te alejas ni te acercas a ella, gira tu rueda izquierda despacito hacia delante, y gira tu rueda derecha despacito hacia delante.</t>
  </si>
  <si>
    <t>Cuando estés cerca a la pared, pero ni te acercas más ni te alejas de ella, gira tu rueda izquierda bastante rápido hacia atrás, y gira tu rueda derecha bastante rápido hacia delante.</t>
  </si>
  <si>
    <t>Cuando estés muy cerca a la pared, pero ni te acercas más ni te alejas de ella, gira tu rueda izquierda despacito hacia atrás, y gira tu rueda derecha despacito hacia atrás.</t>
  </si>
  <si>
    <t>Cuando estés muy lejos de la pared, y te estás alejando aun más de ella, gira tu rueda izquierda muy rápido hacia delante, y gira tu rueda derecha más o menos rápido hacia atrás.</t>
  </si>
  <si>
    <t>Cuando estés lejos de la pared, y te estás alejando más de ella, gira tu rueda izquierda bastante rápido hacia delante, y gira tu rueda derecha despacito hacia atrás.</t>
  </si>
  <si>
    <t>Cuando estés a la distancia requerida, pero te estás alejando de la pared, gira tu rueda izquierda rápidamente hacia delante, y gira tu rueda derecha muy lento hacia atrás.</t>
  </si>
  <si>
    <t>Cuando estés cerca a la pared, pero te estás alejando de ella, gira tu rueda izquierda muy lento hacia delante, y gira tu rueda derecha medio rápido hacia delante.</t>
  </si>
  <si>
    <t>Cuando estés muy cerca a la pared, pero te estás alejando de ella, gira tu rueda izquierda despacito hacia atrás, y gira tu rueda derecha despacito hacia atrás.</t>
  </si>
  <si>
    <r>
      <t xml:space="preserve">cuando estés muy lejos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te estás acercando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rápidamente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muy lento hacia </t>
    </r>
    <r>
      <rPr>
        <u/>
        <sz val="11"/>
        <color indexed="10"/>
        <rFont val="Calibri"/>
        <family val="2"/>
        <scheme val="minor"/>
      </rPr>
      <t>atrás</t>
    </r>
  </si>
  <si>
    <r>
      <t xml:space="preserve">cuando estés lento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te estás acercando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medio rápido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muy lento hacia delante</t>
    </r>
  </si>
  <si>
    <r>
      <t xml:space="preserve">cuando estés a la distancia </t>
    </r>
    <r>
      <rPr>
        <u/>
        <sz val="11"/>
        <color indexed="10"/>
        <rFont val="Calibri"/>
        <family val="2"/>
        <scheme val="minor"/>
      </rPr>
      <t>requerida</t>
    </r>
    <r>
      <rPr>
        <sz val="11"/>
        <rFont val="Calibri"/>
        <family val="2"/>
        <scheme val="minor"/>
      </rPr>
      <t xml:space="preserve"> pero te estás alejando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gira tu rueda izquierda muy lento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rápidamente hacia </t>
    </r>
    <r>
      <rPr>
        <u/>
        <sz val="11"/>
        <color indexed="10"/>
        <rFont val="Calibri"/>
        <family val="2"/>
        <scheme val="minor"/>
      </rPr>
      <t>delante</t>
    </r>
  </si>
  <si>
    <r>
      <t xml:space="preserve">cuando estés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y te estás acercando más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muy rápido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muy rápido hacia </t>
    </r>
    <r>
      <rPr>
        <u/>
        <sz val="11"/>
        <color indexed="10"/>
        <rFont val="Calibri"/>
        <family val="2"/>
        <scheme val="minor"/>
      </rPr>
      <t>delante</t>
    </r>
  </si>
  <si>
    <r>
      <t xml:space="preserve">cuando estés muy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y te estás acercando </t>
    </r>
    <r>
      <rPr>
        <u/>
        <sz val="11"/>
        <color indexed="10"/>
        <rFont val="Calibri"/>
        <family val="2"/>
        <scheme val="minor"/>
      </rPr>
      <t>aún</t>
    </r>
    <r>
      <rPr>
        <sz val="11"/>
        <rFont val="Calibri"/>
        <family val="2"/>
        <scheme val="minor"/>
      </rPr>
      <t xml:space="preserve"> más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despacito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despacito hacia atrás</t>
    </r>
  </si>
  <si>
    <r>
      <t xml:space="preserve">cuando estés muy lejos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alejas más ni te acercas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rápido hacia derecha y gira tu rueda derecha despacito hacia </t>
    </r>
    <r>
      <rPr>
        <u/>
        <sz val="11"/>
        <color indexed="10"/>
        <rFont val="Calibri"/>
        <family val="2"/>
        <scheme val="minor"/>
      </rPr>
      <t>atrás</t>
    </r>
  </si>
  <si>
    <r>
      <t xml:space="preserve">cuando estés lejos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alejas más ni te alejas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derecha rápidamente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izquierda muy hacia </t>
    </r>
    <r>
      <rPr>
        <u/>
        <sz val="11"/>
        <color indexed="10"/>
        <rFont val="Calibri"/>
        <family val="2"/>
        <scheme val="minor"/>
      </rPr>
      <t>atrás</t>
    </r>
  </si>
  <si>
    <r>
      <t xml:space="preserve">cuando estés a la distancia </t>
    </r>
    <r>
      <rPr>
        <u/>
        <sz val="11"/>
        <color indexed="10"/>
        <rFont val="Calibri"/>
        <family val="2"/>
        <scheme val="minor"/>
      </rPr>
      <t>requerida</t>
    </r>
    <r>
      <rPr>
        <sz val="11"/>
        <rFont val="Calibri"/>
        <family val="2"/>
        <scheme val="minor"/>
      </rPr>
      <t xml:space="preserve"> y ni te alejas ni te acercas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despacito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despacito hacia delante</t>
    </r>
  </si>
  <si>
    <r>
      <t xml:space="preserve">cuando estés lento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acercas más ni te acercas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más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bastante más hacia </t>
    </r>
    <r>
      <rPr>
        <u/>
        <sz val="11"/>
        <color indexed="10"/>
        <rFont val="Calibri"/>
        <family val="2"/>
        <scheme val="minor"/>
      </rPr>
      <t>delante</t>
    </r>
  </si>
  <si>
    <r>
      <t xml:space="preserve">cuando estés muy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acercas más ni te alejas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gira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despacito hacia la</t>
    </r>
  </si>
  <si>
    <r>
      <t xml:space="preserve">cuando estés muy lejos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y te estás alejando aun más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muy rápido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más menos menos rápido hacia </t>
    </r>
    <r>
      <rPr>
        <u/>
        <sz val="11"/>
        <color indexed="10"/>
        <rFont val="Calibri"/>
        <family val="2"/>
        <scheme val="minor"/>
      </rPr>
      <t>atrás</t>
    </r>
  </si>
  <si>
    <r>
      <t xml:space="preserve">cuando estés lejos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y te estás alejas más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hacia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lento hacia delante</t>
    </r>
  </si>
  <si>
    <r>
      <t xml:space="preserve">cuando estés a la distancia </t>
    </r>
    <r>
      <rPr>
        <u/>
        <sz val="11"/>
        <color indexed="10"/>
        <rFont val="Calibri"/>
        <family val="2"/>
        <scheme val="minor"/>
      </rPr>
      <t>requerida</t>
    </r>
    <r>
      <rPr>
        <sz val="11"/>
        <rFont val="Calibri"/>
        <family val="2"/>
        <scheme val="minor"/>
      </rPr>
      <t xml:space="preserve"> pero te estás alejando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gira tu rueda izquierda rápidamente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muy lento hacia </t>
    </r>
    <r>
      <rPr>
        <u/>
        <sz val="11"/>
        <color indexed="10"/>
        <rFont val="Calibri"/>
        <family val="2"/>
        <scheme val="minor"/>
      </rPr>
      <t>atrás</t>
    </r>
  </si>
  <si>
    <r>
      <t xml:space="preserve">cuando estés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te estás alejando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izquierda lento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medio más hacia delante</t>
    </r>
  </si>
  <si>
    <r>
      <t xml:space="preserve">cuando estés muy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te estás alejando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despacito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despacito hacia atrás</t>
    </r>
  </si>
  <si>
    <r>
      <t xml:space="preserve">cuando estés cerca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te estás alejando a ella ella tu rueda rueda derecha rápidamente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delante rápido hacia delante</t>
    </r>
  </si>
  <si>
    <r>
      <t xml:space="preserve">cuando estés a la distancia </t>
    </r>
    <r>
      <rPr>
        <u/>
        <sz val="11"/>
        <color indexed="10"/>
        <rFont val="Calibri"/>
        <family val="2"/>
        <scheme val="minor"/>
      </rPr>
      <t>requerida</t>
    </r>
    <r>
      <rPr>
        <sz val="11"/>
        <rFont val="Calibri"/>
        <family val="2"/>
        <scheme val="minor"/>
      </rPr>
      <t xml:space="preserve"> pero te estás alejando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gira tu rueda izquierda muy cerca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rápidamente hacia </t>
    </r>
    <r>
      <rPr>
        <u/>
        <sz val="11"/>
        <color indexed="10"/>
        <rFont val="Calibri"/>
        <family val="2"/>
        <scheme val="minor"/>
      </rPr>
      <t>delante</t>
    </r>
  </si>
  <si>
    <r>
      <t xml:space="preserve">cuando estés muy lejos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alejas más ni te acercas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rápido hacia gira y gira tu rueda derecha despacito hacia </t>
    </r>
    <r>
      <rPr>
        <u/>
        <sz val="11"/>
        <color indexed="10"/>
        <rFont val="Calibri"/>
        <family val="2"/>
        <scheme val="minor"/>
      </rPr>
      <t>atrás</t>
    </r>
  </si>
  <si>
    <r>
      <t xml:space="preserve">cuando estés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acercas más ni te alejas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rápido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bastante hacia </t>
    </r>
    <r>
      <rPr>
        <u/>
        <sz val="11"/>
        <color indexed="10"/>
        <rFont val="Calibri"/>
        <family val="2"/>
        <scheme val="minor"/>
      </rPr>
      <t>delante</t>
    </r>
  </si>
  <si>
    <r>
      <t xml:space="preserve">cuando estés muy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alejas más ni te alejas gira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despacito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atrás hacia atrás</t>
    </r>
  </si>
  <si>
    <r>
      <t xml:space="preserve">cuando estés lento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y te estás alejando más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hacia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lento hacia delante</t>
    </r>
  </si>
  <si>
    <r>
      <t xml:space="preserve">cuando estés lejos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alejas más ni te acercas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derecha rápidamente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izquierda muy hacia </t>
    </r>
    <r>
      <rPr>
        <u/>
        <sz val="11"/>
        <color indexed="10"/>
        <rFont val="Calibri"/>
        <family val="2"/>
        <scheme val="minor"/>
      </rPr>
      <t>atrás</t>
    </r>
  </si>
  <si>
    <r>
      <t xml:space="preserve">cuando estés lento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acercas más ni te acercas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más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bastante hacia </t>
    </r>
    <r>
      <rPr>
        <u/>
        <sz val="11"/>
        <color indexed="10"/>
        <rFont val="Calibri"/>
        <family val="2"/>
        <scheme val="minor"/>
      </rPr>
      <t>delante</t>
    </r>
  </si>
  <si>
    <r>
      <t xml:space="preserve">cuando estés muy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te estás alejando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despacito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ella hacia atrás</t>
    </r>
  </si>
  <si>
    <r>
      <t xml:space="preserve">cuando estés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y te estás alejando más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muy rápido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muy rápido hacia </t>
    </r>
    <r>
      <rPr>
        <u/>
        <sz val="11"/>
        <color indexed="10"/>
        <rFont val="Calibri"/>
        <family val="2"/>
        <scheme val="minor"/>
      </rPr>
      <t>delante</t>
    </r>
  </si>
  <si>
    <r>
      <t xml:space="preserve">cuando estés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acercas más ni te alejas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rápido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bastante rueda hacia </t>
    </r>
    <r>
      <rPr>
        <u/>
        <sz val="11"/>
        <color indexed="10"/>
        <rFont val="Calibri"/>
        <family val="2"/>
        <scheme val="minor"/>
      </rPr>
      <t>delante</t>
    </r>
  </si>
  <si>
    <r>
      <t xml:space="preserve">cuando estés muy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pero ni te acercas más ni te alejas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hacia atrás y gira tu rueda derecha atrás hacia atrás</t>
    </r>
  </si>
  <si>
    <r>
      <t xml:space="preserve">cuando estés muy cerca a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y te estás acercando </t>
    </r>
    <r>
      <rPr>
        <u/>
        <sz val="11"/>
        <color indexed="10"/>
        <rFont val="Calibri"/>
        <family val="2"/>
        <scheme val="minor"/>
      </rPr>
      <t>aún</t>
    </r>
    <r>
      <rPr>
        <sz val="11"/>
        <rFont val="Calibri"/>
        <family val="2"/>
        <scheme val="minor"/>
      </rPr>
      <t xml:space="preserve"> más a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despacito hacia </t>
    </r>
    <r>
      <rPr>
        <u/>
        <sz val="11"/>
        <color indexed="10"/>
        <rFont val="Calibri"/>
        <family val="2"/>
        <scheme val="minor"/>
      </rPr>
      <t>atrás</t>
    </r>
    <r>
      <rPr>
        <sz val="11"/>
        <rFont val="Calibri"/>
        <family val="2"/>
        <scheme val="minor"/>
      </rPr>
      <t xml:space="preserve"> y gira tu rueda derecha despacito hacia</t>
    </r>
  </si>
  <si>
    <r>
      <t xml:space="preserve">cuando estés lejos de la </t>
    </r>
    <r>
      <rPr>
        <u/>
        <sz val="11"/>
        <color indexed="10"/>
        <rFont val="Calibri"/>
        <family val="2"/>
        <scheme val="minor"/>
      </rPr>
      <t>pared</t>
    </r>
    <r>
      <rPr>
        <sz val="11"/>
        <rFont val="Calibri"/>
        <family val="2"/>
        <scheme val="minor"/>
      </rPr>
      <t xml:space="preserve"> y te estás alejas cerca de </t>
    </r>
    <r>
      <rPr>
        <u/>
        <sz val="11"/>
        <color indexed="10"/>
        <rFont val="Calibri"/>
        <family val="2"/>
        <scheme val="minor"/>
      </rPr>
      <t>ella</t>
    </r>
    <r>
      <rPr>
        <sz val="11"/>
        <rFont val="Calibri"/>
        <family val="2"/>
        <scheme val="minor"/>
      </rPr>
      <t xml:space="preserve"> gira tu rueda izquierda bastante hacia hacia </t>
    </r>
    <r>
      <rPr>
        <u/>
        <sz val="11"/>
        <color indexed="10"/>
        <rFont val="Calibri"/>
        <family val="2"/>
        <scheme val="minor"/>
      </rPr>
      <t>delante</t>
    </r>
    <r>
      <rPr>
        <sz val="11"/>
        <rFont val="Calibri"/>
        <family val="2"/>
        <scheme val="minor"/>
      </rPr>
      <t xml:space="preserve"> y gira tu rueda derecha tu hacia delante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</si>
</sst>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indexed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Alignment="1">
      <alignment horizontal="left"/>
    </xf>
    <xf numFmtId="0" fontId="0" fillId="7" borderId="0" xfId="0" applyFill="1" applyAlignment="1">
      <alignment horizontal="left" vertical="center"/>
    </xf>
    <xf numFmtId="0" fontId="4" fillId="0" borderId="0" xfId="0" applyFont="1" applyFill="1"/>
    <xf numFmtId="0" fontId="4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Componente Proporcional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'Entrada P'!$D$7</c:f>
              <c:strCache>
                <c:ptCount val="1"/>
                <c:pt idx="0">
                  <c:v>MuyLejos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P'!$D$9:$D$306</c:f>
              <c:numCache>
                <c:formatCode>General</c:formatCode>
                <c:ptCount val="298"/>
                <c:pt idx="0">
                  <c:v>1</c:v>
                </c:pt>
                <c:pt idx="1">
                  <c:v>0.98877665544332216</c:v>
                </c:pt>
                <c:pt idx="2">
                  <c:v>0.97755331088664432</c:v>
                </c:pt>
                <c:pt idx="3">
                  <c:v>0.96632996632996648</c:v>
                </c:pt>
                <c:pt idx="4">
                  <c:v>0.95510662177328864</c:v>
                </c:pt>
                <c:pt idx="5">
                  <c:v>0.94388327721661081</c:v>
                </c:pt>
                <c:pt idx="6">
                  <c:v>0.93265993265993297</c:v>
                </c:pt>
                <c:pt idx="7">
                  <c:v>0.92143658810325513</c:v>
                </c:pt>
                <c:pt idx="8">
                  <c:v>0.91021324354657729</c:v>
                </c:pt>
                <c:pt idx="9">
                  <c:v>0.89898989898989945</c:v>
                </c:pt>
                <c:pt idx="10">
                  <c:v>0.88776655443322161</c:v>
                </c:pt>
                <c:pt idx="11">
                  <c:v>0.87654320987654377</c:v>
                </c:pt>
                <c:pt idx="12">
                  <c:v>0.86531986531986593</c:v>
                </c:pt>
                <c:pt idx="13">
                  <c:v>0.85409652076318809</c:v>
                </c:pt>
                <c:pt idx="14">
                  <c:v>0.84287317620651026</c:v>
                </c:pt>
                <c:pt idx="15">
                  <c:v>0.83164983164983242</c:v>
                </c:pt>
                <c:pt idx="16">
                  <c:v>0.82042648709315458</c:v>
                </c:pt>
                <c:pt idx="17">
                  <c:v>0.80920314253647674</c:v>
                </c:pt>
                <c:pt idx="18">
                  <c:v>0.7979797979797989</c:v>
                </c:pt>
                <c:pt idx="19">
                  <c:v>0.78675645342312106</c:v>
                </c:pt>
                <c:pt idx="20">
                  <c:v>0.77553310886644322</c:v>
                </c:pt>
                <c:pt idx="21">
                  <c:v>0.76430976430976538</c:v>
                </c:pt>
                <c:pt idx="22">
                  <c:v>0.75308641975308754</c:v>
                </c:pt>
                <c:pt idx="23">
                  <c:v>0.7418630751964097</c:v>
                </c:pt>
                <c:pt idx="24">
                  <c:v>0.73063973063973187</c:v>
                </c:pt>
                <c:pt idx="25">
                  <c:v>0.71941638608305403</c:v>
                </c:pt>
                <c:pt idx="26">
                  <c:v>0.70819304152637619</c:v>
                </c:pt>
                <c:pt idx="27">
                  <c:v>0.69696969696969835</c:v>
                </c:pt>
                <c:pt idx="28">
                  <c:v>0.68574635241302051</c:v>
                </c:pt>
                <c:pt idx="29">
                  <c:v>0.67452300785634267</c:v>
                </c:pt>
                <c:pt idx="30">
                  <c:v>0.66329966329966483</c:v>
                </c:pt>
                <c:pt idx="31">
                  <c:v>0.65207631874298699</c:v>
                </c:pt>
                <c:pt idx="32">
                  <c:v>0.64085297418630915</c:v>
                </c:pt>
                <c:pt idx="33">
                  <c:v>0.62962962962963132</c:v>
                </c:pt>
                <c:pt idx="34">
                  <c:v>0.61840628507295348</c:v>
                </c:pt>
                <c:pt idx="35">
                  <c:v>0.60718294051627564</c:v>
                </c:pt>
                <c:pt idx="36">
                  <c:v>0.5959595959595978</c:v>
                </c:pt>
                <c:pt idx="37">
                  <c:v>0.58473625140291996</c:v>
                </c:pt>
                <c:pt idx="38">
                  <c:v>0.57351290684624212</c:v>
                </c:pt>
                <c:pt idx="39">
                  <c:v>0.56228956228956428</c:v>
                </c:pt>
                <c:pt idx="40">
                  <c:v>0.55106621773288644</c:v>
                </c:pt>
                <c:pt idx="41">
                  <c:v>0.5398428731762086</c:v>
                </c:pt>
                <c:pt idx="42">
                  <c:v>0.52861952861953077</c:v>
                </c:pt>
                <c:pt idx="43">
                  <c:v>0.51739618406285293</c:v>
                </c:pt>
                <c:pt idx="44">
                  <c:v>0.50617283950617509</c:v>
                </c:pt>
                <c:pt idx="45">
                  <c:v>0.49494949494949725</c:v>
                </c:pt>
                <c:pt idx="46">
                  <c:v>0.48372615039281941</c:v>
                </c:pt>
                <c:pt idx="47">
                  <c:v>0.47250280583614157</c:v>
                </c:pt>
                <c:pt idx="48">
                  <c:v>0.46127946127946373</c:v>
                </c:pt>
                <c:pt idx="49">
                  <c:v>0.45005611672278589</c:v>
                </c:pt>
                <c:pt idx="50">
                  <c:v>0.43883277216610805</c:v>
                </c:pt>
                <c:pt idx="51">
                  <c:v>0.42760942760943021</c:v>
                </c:pt>
                <c:pt idx="52">
                  <c:v>0.41638608305275238</c:v>
                </c:pt>
                <c:pt idx="53">
                  <c:v>0.40516273849607454</c:v>
                </c:pt>
                <c:pt idx="54">
                  <c:v>0.3939393939393967</c:v>
                </c:pt>
                <c:pt idx="55">
                  <c:v>0.38271604938271886</c:v>
                </c:pt>
                <c:pt idx="56">
                  <c:v>0.37149270482604102</c:v>
                </c:pt>
                <c:pt idx="57">
                  <c:v>0.36026936026936318</c:v>
                </c:pt>
                <c:pt idx="58">
                  <c:v>0.34904601571268534</c:v>
                </c:pt>
                <c:pt idx="59">
                  <c:v>0.3378226711560075</c:v>
                </c:pt>
                <c:pt idx="60">
                  <c:v>0.32659932659932966</c:v>
                </c:pt>
                <c:pt idx="61">
                  <c:v>0.31537598204265183</c:v>
                </c:pt>
                <c:pt idx="62">
                  <c:v>0.30415263748597399</c:v>
                </c:pt>
                <c:pt idx="63">
                  <c:v>0.29292929292929615</c:v>
                </c:pt>
                <c:pt idx="64">
                  <c:v>0.28170594837261831</c:v>
                </c:pt>
                <c:pt idx="65">
                  <c:v>0.27048260381594047</c:v>
                </c:pt>
                <c:pt idx="66">
                  <c:v>0.25925925925926263</c:v>
                </c:pt>
                <c:pt idx="67">
                  <c:v>0.24803591470258476</c:v>
                </c:pt>
                <c:pt idx="68">
                  <c:v>0.23681257014590693</c:v>
                </c:pt>
                <c:pt idx="69">
                  <c:v>0.22558922558922909</c:v>
                </c:pt>
                <c:pt idx="70">
                  <c:v>0.21436588103255125</c:v>
                </c:pt>
                <c:pt idx="71">
                  <c:v>0.20314253647587341</c:v>
                </c:pt>
                <c:pt idx="72">
                  <c:v>0.19191919191919557</c:v>
                </c:pt>
                <c:pt idx="73">
                  <c:v>0.18069584736251773</c:v>
                </c:pt>
                <c:pt idx="74">
                  <c:v>0.16947250280583989</c:v>
                </c:pt>
                <c:pt idx="75">
                  <c:v>0.15824915824916197</c:v>
                </c:pt>
                <c:pt idx="76">
                  <c:v>0.14702581369248402</c:v>
                </c:pt>
                <c:pt idx="77">
                  <c:v>0.1358024691358061</c:v>
                </c:pt>
                <c:pt idx="78">
                  <c:v>0.12457912457912816</c:v>
                </c:pt>
                <c:pt idx="79">
                  <c:v>0.11335578002245023</c:v>
                </c:pt>
                <c:pt idx="80">
                  <c:v>0.1021324354657723</c:v>
                </c:pt>
                <c:pt idx="81">
                  <c:v>9.0909090909094367E-2</c:v>
                </c:pt>
                <c:pt idx="82">
                  <c:v>7.9685746352416431E-2</c:v>
                </c:pt>
                <c:pt idx="83">
                  <c:v>6.8462401795738509E-2</c:v>
                </c:pt>
                <c:pt idx="84">
                  <c:v>5.7239057239060573E-2</c:v>
                </c:pt>
                <c:pt idx="85">
                  <c:v>4.6015712682382637E-2</c:v>
                </c:pt>
                <c:pt idx="86">
                  <c:v>3.4792368125704708E-2</c:v>
                </c:pt>
                <c:pt idx="87">
                  <c:v>2.3569023569026775E-2</c:v>
                </c:pt>
                <c:pt idx="88">
                  <c:v>1.2345679012348842E-2</c:v>
                </c:pt>
                <c:pt idx="89">
                  <c:v>1.1223344556709112E-3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C-481F-91B2-BC88BBBAAD8D}"/>
            </c:ext>
          </c:extLst>
        </c:ser>
        <c:ser>
          <c:idx val="1"/>
          <c:order val="1"/>
          <c:tx>
            <c:strRef>
              <c:f>'Entrada P'!$E$7</c:f>
              <c:strCache>
                <c:ptCount val="1"/>
                <c:pt idx="0">
                  <c:v>Lejos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P'!$E$9:$E$306</c:f>
              <c:numCache>
                <c:formatCode>General</c:formatCode>
                <c:ptCount val="298"/>
                <c:pt idx="0">
                  <c:v>0</c:v>
                </c:pt>
                <c:pt idx="1">
                  <c:v>1.1223344556677839E-2</c:v>
                </c:pt>
                <c:pt idx="2">
                  <c:v>2.2446689113355678E-2</c:v>
                </c:pt>
                <c:pt idx="3">
                  <c:v>3.3670033670033517E-2</c:v>
                </c:pt>
                <c:pt idx="4">
                  <c:v>4.4893378226711356E-2</c:v>
                </c:pt>
                <c:pt idx="5">
                  <c:v>5.6116722783389195E-2</c:v>
                </c:pt>
                <c:pt idx="6">
                  <c:v>6.7340067340067034E-2</c:v>
                </c:pt>
                <c:pt idx="7">
                  <c:v>7.8563411896744872E-2</c:v>
                </c:pt>
                <c:pt idx="8">
                  <c:v>8.9786756453422711E-2</c:v>
                </c:pt>
                <c:pt idx="9">
                  <c:v>0.10101010101010055</c:v>
                </c:pt>
                <c:pt idx="10">
                  <c:v>0.11223344556677839</c:v>
                </c:pt>
                <c:pt idx="11">
                  <c:v>0.12345679012345623</c:v>
                </c:pt>
                <c:pt idx="12">
                  <c:v>0.13468013468013407</c:v>
                </c:pt>
                <c:pt idx="13">
                  <c:v>0.14590347923681191</c:v>
                </c:pt>
                <c:pt idx="14">
                  <c:v>0.15712682379348974</c:v>
                </c:pt>
                <c:pt idx="15">
                  <c:v>0.16835016835016758</c:v>
                </c:pt>
                <c:pt idx="16">
                  <c:v>0.17957351290684542</c:v>
                </c:pt>
                <c:pt idx="17">
                  <c:v>0.19079685746352326</c:v>
                </c:pt>
                <c:pt idx="18">
                  <c:v>0.2020202020202011</c:v>
                </c:pt>
                <c:pt idx="19">
                  <c:v>0.21324354657687894</c:v>
                </c:pt>
                <c:pt idx="20">
                  <c:v>0.22446689113355678</c:v>
                </c:pt>
                <c:pt idx="21">
                  <c:v>0.23569023569023462</c:v>
                </c:pt>
                <c:pt idx="22">
                  <c:v>0.24691358024691246</c:v>
                </c:pt>
                <c:pt idx="23">
                  <c:v>0.2581369248035903</c:v>
                </c:pt>
                <c:pt idx="24">
                  <c:v>0.26936026936026813</c:v>
                </c:pt>
                <c:pt idx="25">
                  <c:v>0.28058361391694597</c:v>
                </c:pt>
                <c:pt idx="26">
                  <c:v>0.29180695847362381</c:v>
                </c:pt>
                <c:pt idx="27">
                  <c:v>0.30303030303030165</c:v>
                </c:pt>
                <c:pt idx="28">
                  <c:v>0.31425364758697949</c:v>
                </c:pt>
                <c:pt idx="29">
                  <c:v>0.32547699214365733</c:v>
                </c:pt>
                <c:pt idx="30">
                  <c:v>0.33670033670033517</c:v>
                </c:pt>
                <c:pt idx="31">
                  <c:v>0.34792368125701301</c:v>
                </c:pt>
                <c:pt idx="32">
                  <c:v>0.35914702581369085</c:v>
                </c:pt>
                <c:pt idx="33">
                  <c:v>0.37037037037036868</c:v>
                </c:pt>
                <c:pt idx="34">
                  <c:v>0.38159371492704652</c:v>
                </c:pt>
                <c:pt idx="35">
                  <c:v>0.39281705948372436</c:v>
                </c:pt>
                <c:pt idx="36">
                  <c:v>0.4040404040404022</c:v>
                </c:pt>
                <c:pt idx="37">
                  <c:v>0.41526374859708004</c:v>
                </c:pt>
                <c:pt idx="38">
                  <c:v>0.42648709315375788</c:v>
                </c:pt>
                <c:pt idx="39">
                  <c:v>0.43771043771043572</c:v>
                </c:pt>
                <c:pt idx="40">
                  <c:v>0.44893378226711356</c:v>
                </c:pt>
                <c:pt idx="41">
                  <c:v>0.4601571268237914</c:v>
                </c:pt>
                <c:pt idx="42">
                  <c:v>0.47138047138046923</c:v>
                </c:pt>
                <c:pt idx="43">
                  <c:v>0.48260381593714707</c:v>
                </c:pt>
                <c:pt idx="44">
                  <c:v>0.49382716049382491</c:v>
                </c:pt>
                <c:pt idx="45">
                  <c:v>0.50505050505050275</c:v>
                </c:pt>
                <c:pt idx="46">
                  <c:v>0.51627384960718059</c:v>
                </c:pt>
                <c:pt idx="47">
                  <c:v>0.52749719416385843</c:v>
                </c:pt>
                <c:pt idx="48">
                  <c:v>0.53872053872053627</c:v>
                </c:pt>
                <c:pt idx="49">
                  <c:v>0.54994388327721411</c:v>
                </c:pt>
                <c:pt idx="50">
                  <c:v>0.56116722783389195</c:v>
                </c:pt>
                <c:pt idx="51">
                  <c:v>0.57239057239056979</c:v>
                </c:pt>
                <c:pt idx="52">
                  <c:v>0.58361391694724762</c:v>
                </c:pt>
                <c:pt idx="53">
                  <c:v>0.59483726150392546</c:v>
                </c:pt>
                <c:pt idx="54">
                  <c:v>0.6060606060606033</c:v>
                </c:pt>
                <c:pt idx="55">
                  <c:v>0.61728395061728114</c:v>
                </c:pt>
                <c:pt idx="56">
                  <c:v>0.62850729517395898</c:v>
                </c:pt>
                <c:pt idx="57">
                  <c:v>0.63973063973063682</c:v>
                </c:pt>
                <c:pt idx="58">
                  <c:v>0.65095398428731466</c:v>
                </c:pt>
                <c:pt idx="59">
                  <c:v>0.6621773288439925</c:v>
                </c:pt>
                <c:pt idx="60">
                  <c:v>0.67340067340067034</c:v>
                </c:pt>
                <c:pt idx="61">
                  <c:v>0.68462401795734817</c:v>
                </c:pt>
                <c:pt idx="62">
                  <c:v>0.69584736251402601</c:v>
                </c:pt>
                <c:pt idx="63">
                  <c:v>0.70707070707070385</c:v>
                </c:pt>
                <c:pt idx="64">
                  <c:v>0.71829405162738169</c:v>
                </c:pt>
                <c:pt idx="65">
                  <c:v>0.72951739618405953</c:v>
                </c:pt>
                <c:pt idx="66">
                  <c:v>0.74074074074073737</c:v>
                </c:pt>
                <c:pt idx="67">
                  <c:v>0.75196408529741521</c:v>
                </c:pt>
                <c:pt idx="68">
                  <c:v>0.76318742985409305</c:v>
                </c:pt>
                <c:pt idx="69">
                  <c:v>0.77441077441077089</c:v>
                </c:pt>
                <c:pt idx="70">
                  <c:v>0.78563411896744872</c:v>
                </c:pt>
                <c:pt idx="71">
                  <c:v>0.79685746352412656</c:v>
                </c:pt>
                <c:pt idx="72">
                  <c:v>0.8080808080808044</c:v>
                </c:pt>
                <c:pt idx="73">
                  <c:v>0.81930415263748224</c:v>
                </c:pt>
                <c:pt idx="74">
                  <c:v>0.83052749719416008</c:v>
                </c:pt>
                <c:pt idx="75">
                  <c:v>0.84175084175083792</c:v>
                </c:pt>
                <c:pt idx="76">
                  <c:v>0.85297418630751598</c:v>
                </c:pt>
                <c:pt idx="77">
                  <c:v>0.86419753086419404</c:v>
                </c:pt>
                <c:pt idx="78">
                  <c:v>0.87542087542087188</c:v>
                </c:pt>
                <c:pt idx="79">
                  <c:v>0.88664421997754972</c:v>
                </c:pt>
                <c:pt idx="80">
                  <c:v>0.89786756453422767</c:v>
                </c:pt>
                <c:pt idx="81">
                  <c:v>0.90909090909090573</c:v>
                </c:pt>
                <c:pt idx="82">
                  <c:v>0.92031425364758357</c:v>
                </c:pt>
                <c:pt idx="83">
                  <c:v>0.93153759820426141</c:v>
                </c:pt>
                <c:pt idx="84">
                  <c:v>0.94276094276093947</c:v>
                </c:pt>
                <c:pt idx="85">
                  <c:v>0.95398428731761742</c:v>
                </c:pt>
                <c:pt idx="86">
                  <c:v>0.96520763187429526</c:v>
                </c:pt>
                <c:pt idx="87">
                  <c:v>0.9764309764309731</c:v>
                </c:pt>
                <c:pt idx="88">
                  <c:v>0.98765432098765116</c:v>
                </c:pt>
                <c:pt idx="89">
                  <c:v>0.99887766554432922</c:v>
                </c:pt>
                <c:pt idx="90">
                  <c:v>0.98484848484848952</c:v>
                </c:pt>
                <c:pt idx="91">
                  <c:v>0.96801346801347254</c:v>
                </c:pt>
                <c:pt idx="92">
                  <c:v>0.95117845117845568</c:v>
                </c:pt>
                <c:pt idx="93">
                  <c:v>0.93434343434343881</c:v>
                </c:pt>
                <c:pt idx="94">
                  <c:v>0.91750841750842194</c:v>
                </c:pt>
                <c:pt idx="95">
                  <c:v>0.90067340067340496</c:v>
                </c:pt>
                <c:pt idx="96">
                  <c:v>0.88383838383838809</c:v>
                </c:pt>
                <c:pt idx="97">
                  <c:v>0.86700336700337122</c:v>
                </c:pt>
                <c:pt idx="98">
                  <c:v>0.85016835016835435</c:v>
                </c:pt>
                <c:pt idx="99">
                  <c:v>0.83333333333333737</c:v>
                </c:pt>
                <c:pt idx="100">
                  <c:v>0.8164983164983205</c:v>
                </c:pt>
                <c:pt idx="101">
                  <c:v>0.79966329966330363</c:v>
                </c:pt>
                <c:pt idx="102">
                  <c:v>0.78282828282828676</c:v>
                </c:pt>
                <c:pt idx="103">
                  <c:v>0.76599326599326978</c:v>
                </c:pt>
                <c:pt idx="104">
                  <c:v>0.74915824915825291</c:v>
                </c:pt>
                <c:pt idx="105">
                  <c:v>0.73232323232323604</c:v>
                </c:pt>
                <c:pt idx="106">
                  <c:v>0.71548821548821917</c:v>
                </c:pt>
                <c:pt idx="107">
                  <c:v>0.69865319865320219</c:v>
                </c:pt>
                <c:pt idx="108">
                  <c:v>0.68181818181818532</c:v>
                </c:pt>
                <c:pt idx="109">
                  <c:v>0.66498316498316845</c:v>
                </c:pt>
                <c:pt idx="110">
                  <c:v>0.64814814814815158</c:v>
                </c:pt>
                <c:pt idx="111">
                  <c:v>0.6313131313131346</c:v>
                </c:pt>
                <c:pt idx="112">
                  <c:v>0.61447811447811784</c:v>
                </c:pt>
                <c:pt idx="113">
                  <c:v>0.59764309764310097</c:v>
                </c:pt>
                <c:pt idx="114">
                  <c:v>0.58080808080808422</c:v>
                </c:pt>
                <c:pt idx="115">
                  <c:v>0.56397306397306735</c:v>
                </c:pt>
                <c:pt idx="116">
                  <c:v>0.54713804713805048</c:v>
                </c:pt>
                <c:pt idx="117">
                  <c:v>0.53030303030303372</c:v>
                </c:pt>
                <c:pt idx="118">
                  <c:v>0.51346801346801685</c:v>
                </c:pt>
                <c:pt idx="119">
                  <c:v>0.49663299663300003</c:v>
                </c:pt>
                <c:pt idx="120">
                  <c:v>0.47979797979798322</c:v>
                </c:pt>
                <c:pt idx="121">
                  <c:v>0.46296296296296641</c:v>
                </c:pt>
                <c:pt idx="122">
                  <c:v>0.44612794612794954</c:v>
                </c:pt>
                <c:pt idx="123">
                  <c:v>0.42929292929293272</c:v>
                </c:pt>
                <c:pt idx="124">
                  <c:v>0.41245791245791591</c:v>
                </c:pt>
                <c:pt idx="125">
                  <c:v>0.3956228956228991</c:v>
                </c:pt>
                <c:pt idx="126">
                  <c:v>0.37878787878788223</c:v>
                </c:pt>
                <c:pt idx="127">
                  <c:v>0.36195286195286541</c:v>
                </c:pt>
                <c:pt idx="128">
                  <c:v>0.3451178451178486</c:v>
                </c:pt>
                <c:pt idx="129">
                  <c:v>0.32828282828283178</c:v>
                </c:pt>
                <c:pt idx="130">
                  <c:v>0.31144781144781492</c:v>
                </c:pt>
                <c:pt idx="131">
                  <c:v>0.2946127946127981</c:v>
                </c:pt>
                <c:pt idx="132">
                  <c:v>0.27777777777778129</c:v>
                </c:pt>
                <c:pt idx="133">
                  <c:v>0.26094276094276447</c:v>
                </c:pt>
                <c:pt idx="134">
                  <c:v>0.24410774410774763</c:v>
                </c:pt>
                <c:pt idx="135">
                  <c:v>0.22727272727273082</c:v>
                </c:pt>
                <c:pt idx="136">
                  <c:v>0.21043771043771398</c:v>
                </c:pt>
                <c:pt idx="137">
                  <c:v>0.19360269360269716</c:v>
                </c:pt>
                <c:pt idx="138">
                  <c:v>0.17676767676768032</c:v>
                </c:pt>
                <c:pt idx="139">
                  <c:v>0.15993265993266351</c:v>
                </c:pt>
                <c:pt idx="140">
                  <c:v>0.14309764309764667</c:v>
                </c:pt>
                <c:pt idx="141">
                  <c:v>0.12626262626262985</c:v>
                </c:pt>
                <c:pt idx="142">
                  <c:v>0.10942760942761302</c:v>
                </c:pt>
                <c:pt idx="143">
                  <c:v>9.2592592592596196E-2</c:v>
                </c:pt>
                <c:pt idx="144">
                  <c:v>7.5757575757579354E-2</c:v>
                </c:pt>
                <c:pt idx="145">
                  <c:v>5.8922558922562519E-2</c:v>
                </c:pt>
                <c:pt idx="146">
                  <c:v>4.2087542087545685E-2</c:v>
                </c:pt>
                <c:pt idx="147">
                  <c:v>2.525252525252885E-2</c:v>
                </c:pt>
                <c:pt idx="148">
                  <c:v>8.4175084175120152E-3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C-481F-91B2-BC88BBBAAD8D}"/>
            </c:ext>
          </c:extLst>
        </c:ser>
        <c:ser>
          <c:idx val="2"/>
          <c:order val="2"/>
          <c:tx>
            <c:strRef>
              <c:f>'Entrada P'!$F$7</c:f>
              <c:strCache>
                <c:ptCount val="1"/>
                <c:pt idx="0">
                  <c:v>Ok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1.5151515151510531E-2</c:v>
                </c:pt>
                <c:pt idx="91">
                  <c:v>3.1986531986527428E-2</c:v>
                </c:pt>
                <c:pt idx="92">
                  <c:v>4.8821548821544325E-2</c:v>
                </c:pt>
                <c:pt idx="93">
                  <c:v>6.5656565656561222E-2</c:v>
                </c:pt>
                <c:pt idx="94">
                  <c:v>8.2491582491578119E-2</c:v>
                </c:pt>
                <c:pt idx="95">
                  <c:v>9.9326599326595016E-2</c:v>
                </c:pt>
                <c:pt idx="96">
                  <c:v>0.11616161616161191</c:v>
                </c:pt>
                <c:pt idx="97">
                  <c:v>0.13299663299662881</c:v>
                </c:pt>
                <c:pt idx="98">
                  <c:v>0.14983164983164571</c:v>
                </c:pt>
                <c:pt idx="99">
                  <c:v>0.16666666666666261</c:v>
                </c:pt>
                <c:pt idx="100">
                  <c:v>0.1835016835016795</c:v>
                </c:pt>
                <c:pt idx="101">
                  <c:v>0.2003367003366964</c:v>
                </c:pt>
                <c:pt idx="102">
                  <c:v>0.2171717171717133</c:v>
                </c:pt>
                <c:pt idx="103">
                  <c:v>0.23400673400673019</c:v>
                </c:pt>
                <c:pt idx="104">
                  <c:v>0.25084175084174709</c:v>
                </c:pt>
                <c:pt idx="105">
                  <c:v>0.26767676767676396</c:v>
                </c:pt>
                <c:pt idx="106">
                  <c:v>0.28451178451178089</c:v>
                </c:pt>
                <c:pt idx="107">
                  <c:v>0.30134680134679775</c:v>
                </c:pt>
                <c:pt idx="108">
                  <c:v>0.31818181818181468</c:v>
                </c:pt>
                <c:pt idx="109">
                  <c:v>0.33501683501683155</c:v>
                </c:pt>
                <c:pt idx="110">
                  <c:v>0.35185185185184847</c:v>
                </c:pt>
                <c:pt idx="111">
                  <c:v>0.36868686868686534</c:v>
                </c:pt>
                <c:pt idx="112">
                  <c:v>0.38552188552188216</c:v>
                </c:pt>
                <c:pt idx="113">
                  <c:v>0.40235690235689903</c:v>
                </c:pt>
                <c:pt idx="114">
                  <c:v>0.41919191919191584</c:v>
                </c:pt>
                <c:pt idx="115">
                  <c:v>0.43602693602693265</c:v>
                </c:pt>
                <c:pt idx="116">
                  <c:v>0.45286195286194947</c:v>
                </c:pt>
                <c:pt idx="117">
                  <c:v>0.46969696969696634</c:v>
                </c:pt>
                <c:pt idx="118">
                  <c:v>0.48653198653198315</c:v>
                </c:pt>
                <c:pt idx="119">
                  <c:v>0.50336700336699991</c:v>
                </c:pt>
                <c:pt idx="120">
                  <c:v>0.52020202020201678</c:v>
                </c:pt>
                <c:pt idx="121">
                  <c:v>0.53703703703703365</c:v>
                </c:pt>
                <c:pt idx="122">
                  <c:v>0.55387205387205041</c:v>
                </c:pt>
                <c:pt idx="123">
                  <c:v>0.57070707070706728</c:v>
                </c:pt>
                <c:pt idx="124">
                  <c:v>0.58754208754208415</c:v>
                </c:pt>
                <c:pt idx="125">
                  <c:v>0.6043771043771009</c:v>
                </c:pt>
                <c:pt idx="126">
                  <c:v>0.62121212121211777</c:v>
                </c:pt>
                <c:pt idx="127">
                  <c:v>0.63804713804713453</c:v>
                </c:pt>
                <c:pt idx="128">
                  <c:v>0.65488215488215151</c:v>
                </c:pt>
                <c:pt idx="129">
                  <c:v>0.67171717171716827</c:v>
                </c:pt>
                <c:pt idx="130">
                  <c:v>0.68855218855218503</c:v>
                </c:pt>
                <c:pt idx="131">
                  <c:v>0.7053872053872019</c:v>
                </c:pt>
                <c:pt idx="132">
                  <c:v>0.72222222222221877</c:v>
                </c:pt>
                <c:pt idx="133">
                  <c:v>0.73905723905723553</c:v>
                </c:pt>
                <c:pt idx="134">
                  <c:v>0.75589225589225228</c:v>
                </c:pt>
                <c:pt idx="135">
                  <c:v>0.77272727272726915</c:v>
                </c:pt>
                <c:pt idx="136">
                  <c:v>0.78956228956228613</c:v>
                </c:pt>
                <c:pt idx="137">
                  <c:v>0.80639730639730289</c:v>
                </c:pt>
                <c:pt idx="138">
                  <c:v>0.82323232323231965</c:v>
                </c:pt>
                <c:pt idx="139">
                  <c:v>0.84006734006733652</c:v>
                </c:pt>
                <c:pt idx="140">
                  <c:v>0.85690235690235339</c:v>
                </c:pt>
                <c:pt idx="141">
                  <c:v>0.87373737373737015</c:v>
                </c:pt>
                <c:pt idx="142">
                  <c:v>0.89057239057238691</c:v>
                </c:pt>
                <c:pt idx="143">
                  <c:v>0.90740740740740378</c:v>
                </c:pt>
                <c:pt idx="144">
                  <c:v>0.92424242424242076</c:v>
                </c:pt>
                <c:pt idx="145">
                  <c:v>0.94107744107743752</c:v>
                </c:pt>
                <c:pt idx="146">
                  <c:v>0.95791245791245438</c:v>
                </c:pt>
                <c:pt idx="147">
                  <c:v>0.97474747474747114</c:v>
                </c:pt>
                <c:pt idx="148">
                  <c:v>0.99158249158248801</c:v>
                </c:pt>
                <c:pt idx="149">
                  <c:v>0.99158249158249523</c:v>
                </c:pt>
                <c:pt idx="150">
                  <c:v>0.97474747474747836</c:v>
                </c:pt>
                <c:pt idx="151">
                  <c:v>0.9579124579124616</c:v>
                </c:pt>
                <c:pt idx="152">
                  <c:v>0.94107744107744473</c:v>
                </c:pt>
                <c:pt idx="153">
                  <c:v>0.92424242424242775</c:v>
                </c:pt>
                <c:pt idx="154">
                  <c:v>0.90740740740741099</c:v>
                </c:pt>
                <c:pt idx="155">
                  <c:v>0.89057239057239412</c:v>
                </c:pt>
                <c:pt idx="156">
                  <c:v>0.87373737373737737</c:v>
                </c:pt>
                <c:pt idx="157">
                  <c:v>0.8569023569023605</c:v>
                </c:pt>
                <c:pt idx="158">
                  <c:v>0.84006734006734374</c:v>
                </c:pt>
                <c:pt idx="159">
                  <c:v>0.82323232323232687</c:v>
                </c:pt>
                <c:pt idx="160">
                  <c:v>0.80639730639731011</c:v>
                </c:pt>
                <c:pt idx="161">
                  <c:v>0.78956228956229313</c:v>
                </c:pt>
                <c:pt idx="162">
                  <c:v>0.77272727272727637</c:v>
                </c:pt>
                <c:pt idx="163">
                  <c:v>0.7558922558922595</c:v>
                </c:pt>
                <c:pt idx="164">
                  <c:v>0.73905723905724274</c:v>
                </c:pt>
                <c:pt idx="165">
                  <c:v>0.72222222222222587</c:v>
                </c:pt>
                <c:pt idx="166">
                  <c:v>0.70538720538720912</c:v>
                </c:pt>
                <c:pt idx="167">
                  <c:v>0.68855218855219225</c:v>
                </c:pt>
                <c:pt idx="168">
                  <c:v>0.67171717171717549</c:v>
                </c:pt>
                <c:pt idx="169">
                  <c:v>0.65488215488215851</c:v>
                </c:pt>
                <c:pt idx="170">
                  <c:v>0.63804713804714164</c:v>
                </c:pt>
                <c:pt idx="171">
                  <c:v>0.62121212121212488</c:v>
                </c:pt>
                <c:pt idx="172">
                  <c:v>0.60437710437710812</c:v>
                </c:pt>
                <c:pt idx="173">
                  <c:v>0.58754208754209125</c:v>
                </c:pt>
                <c:pt idx="174">
                  <c:v>0.57070707070707438</c:v>
                </c:pt>
                <c:pt idx="175">
                  <c:v>0.55387205387205762</c:v>
                </c:pt>
                <c:pt idx="176">
                  <c:v>0.53703703703704075</c:v>
                </c:pt>
                <c:pt idx="177">
                  <c:v>0.52020202020202388</c:v>
                </c:pt>
                <c:pt idx="178">
                  <c:v>0.50336700336700713</c:v>
                </c:pt>
                <c:pt idx="179">
                  <c:v>0.48653198653199031</c:v>
                </c:pt>
                <c:pt idx="180">
                  <c:v>0.46969696969697344</c:v>
                </c:pt>
                <c:pt idx="181">
                  <c:v>0.45286195286195663</c:v>
                </c:pt>
                <c:pt idx="182">
                  <c:v>0.43602693602693982</c:v>
                </c:pt>
                <c:pt idx="183">
                  <c:v>0.419191919191923</c:v>
                </c:pt>
                <c:pt idx="184">
                  <c:v>0.40235690235690613</c:v>
                </c:pt>
                <c:pt idx="185">
                  <c:v>0.38552188552188932</c:v>
                </c:pt>
                <c:pt idx="186">
                  <c:v>0.36868686868687245</c:v>
                </c:pt>
                <c:pt idx="187">
                  <c:v>0.35185185185185552</c:v>
                </c:pt>
                <c:pt idx="188">
                  <c:v>0.33501683501683865</c:v>
                </c:pt>
                <c:pt idx="189">
                  <c:v>0.31818181818182173</c:v>
                </c:pt>
                <c:pt idx="190">
                  <c:v>0.30134680134680486</c:v>
                </c:pt>
                <c:pt idx="191">
                  <c:v>0.28451178451178794</c:v>
                </c:pt>
                <c:pt idx="192">
                  <c:v>0.26767676767677107</c:v>
                </c:pt>
                <c:pt idx="193">
                  <c:v>0.25084175084175414</c:v>
                </c:pt>
                <c:pt idx="194">
                  <c:v>0.23400673400673727</c:v>
                </c:pt>
                <c:pt idx="195">
                  <c:v>0.21717171717172037</c:v>
                </c:pt>
                <c:pt idx="196">
                  <c:v>0.20033670033670348</c:v>
                </c:pt>
                <c:pt idx="197">
                  <c:v>0.18350168350168658</c:v>
                </c:pt>
                <c:pt idx="198">
                  <c:v>0.16666666666666968</c:v>
                </c:pt>
                <c:pt idx="199">
                  <c:v>0.14983164983165279</c:v>
                </c:pt>
                <c:pt idx="200">
                  <c:v>0.13299663299663589</c:v>
                </c:pt>
                <c:pt idx="201">
                  <c:v>0.11616161616161899</c:v>
                </c:pt>
                <c:pt idx="202">
                  <c:v>9.9326599326602094E-2</c:v>
                </c:pt>
                <c:pt idx="203">
                  <c:v>8.2491582491585197E-2</c:v>
                </c:pt>
                <c:pt idx="204">
                  <c:v>6.56565656565683E-2</c:v>
                </c:pt>
                <c:pt idx="205">
                  <c:v>4.8821548821551403E-2</c:v>
                </c:pt>
                <c:pt idx="206">
                  <c:v>3.1986531986534505E-2</c:v>
                </c:pt>
                <c:pt idx="207">
                  <c:v>1.5151515151517608E-2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2C-481F-91B2-BC88BBBAAD8D}"/>
            </c:ext>
          </c:extLst>
        </c:ser>
        <c:ser>
          <c:idx val="3"/>
          <c:order val="3"/>
          <c:tx>
            <c:strRef>
              <c:f>'Entrada P'!$G$7</c:f>
              <c:strCache>
                <c:ptCount val="1"/>
                <c:pt idx="0">
                  <c:v>Cerca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P'!$G$9:$G$306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8.4175084175048178E-3</c:v>
                </c:pt>
                <c:pt idx="150">
                  <c:v>2.5252525252521651E-2</c:v>
                </c:pt>
                <c:pt idx="151">
                  <c:v>4.2087542087538482E-2</c:v>
                </c:pt>
                <c:pt idx="152">
                  <c:v>5.8922558922555324E-2</c:v>
                </c:pt>
                <c:pt idx="153">
                  <c:v>7.5757575757572151E-2</c:v>
                </c:pt>
                <c:pt idx="154">
                  <c:v>9.2592592592588993E-2</c:v>
                </c:pt>
                <c:pt idx="155">
                  <c:v>0.10942760942760582</c:v>
                </c:pt>
                <c:pt idx="156">
                  <c:v>0.12626262626262263</c:v>
                </c:pt>
                <c:pt idx="157">
                  <c:v>0.14309764309763948</c:v>
                </c:pt>
                <c:pt idx="158">
                  <c:v>0.15993265993265632</c:v>
                </c:pt>
                <c:pt idx="159">
                  <c:v>0.17676767676767313</c:v>
                </c:pt>
                <c:pt idx="160">
                  <c:v>0.19360269360268997</c:v>
                </c:pt>
                <c:pt idx="161">
                  <c:v>0.21043771043770679</c:v>
                </c:pt>
                <c:pt idx="162">
                  <c:v>0.22727272727272363</c:v>
                </c:pt>
                <c:pt idx="163">
                  <c:v>0.24410774410774044</c:v>
                </c:pt>
                <c:pt idx="164">
                  <c:v>0.26094276094275726</c:v>
                </c:pt>
                <c:pt idx="165">
                  <c:v>0.27777777777777413</c:v>
                </c:pt>
                <c:pt idx="166">
                  <c:v>0.29461279461279094</c:v>
                </c:pt>
                <c:pt idx="167">
                  <c:v>0.31144781144780775</c:v>
                </c:pt>
                <c:pt idx="168">
                  <c:v>0.32828282828282462</c:v>
                </c:pt>
                <c:pt idx="169">
                  <c:v>0.34511784511784144</c:v>
                </c:pt>
                <c:pt idx="170">
                  <c:v>0.36195286195285825</c:v>
                </c:pt>
                <c:pt idx="171">
                  <c:v>0.37878787878787512</c:v>
                </c:pt>
                <c:pt idx="172">
                  <c:v>0.39562289562289193</c:v>
                </c:pt>
                <c:pt idx="173">
                  <c:v>0.41245791245790875</c:v>
                </c:pt>
                <c:pt idx="174">
                  <c:v>0.42929292929292556</c:v>
                </c:pt>
                <c:pt idx="175">
                  <c:v>0.44612794612794243</c:v>
                </c:pt>
                <c:pt idx="176">
                  <c:v>0.46296296296295925</c:v>
                </c:pt>
                <c:pt idx="177">
                  <c:v>0.47979797979797606</c:v>
                </c:pt>
                <c:pt idx="178">
                  <c:v>0.49663299663299287</c:v>
                </c:pt>
                <c:pt idx="179">
                  <c:v>0.51346801346800974</c:v>
                </c:pt>
                <c:pt idx="180">
                  <c:v>0.5303030303030265</c:v>
                </c:pt>
                <c:pt idx="181">
                  <c:v>0.54713804713804337</c:v>
                </c:pt>
                <c:pt idx="182">
                  <c:v>0.56397306397306024</c:v>
                </c:pt>
                <c:pt idx="183">
                  <c:v>0.580808080808077</c:v>
                </c:pt>
                <c:pt idx="184">
                  <c:v>0.59764309764309387</c:v>
                </c:pt>
                <c:pt idx="185">
                  <c:v>0.61447811447811063</c:v>
                </c:pt>
                <c:pt idx="186">
                  <c:v>0.63131313131312761</c:v>
                </c:pt>
                <c:pt idx="187">
                  <c:v>0.64814814814814448</c:v>
                </c:pt>
                <c:pt idx="188">
                  <c:v>0.66498316498316135</c:v>
                </c:pt>
                <c:pt idx="189">
                  <c:v>0.68181818181817822</c:v>
                </c:pt>
                <c:pt idx="190">
                  <c:v>0.6986531986531952</c:v>
                </c:pt>
                <c:pt idx="191">
                  <c:v>0.71548821548821206</c:v>
                </c:pt>
                <c:pt idx="192">
                  <c:v>0.73232323232322893</c:v>
                </c:pt>
                <c:pt idx="193">
                  <c:v>0.7491582491582458</c:v>
                </c:pt>
                <c:pt idx="194">
                  <c:v>0.76599326599326278</c:v>
                </c:pt>
                <c:pt idx="195">
                  <c:v>0.78282828282827965</c:v>
                </c:pt>
                <c:pt idx="196">
                  <c:v>0.79966329966329652</c:v>
                </c:pt>
                <c:pt idx="197">
                  <c:v>0.81649831649831339</c:v>
                </c:pt>
                <c:pt idx="198">
                  <c:v>0.83333333333333037</c:v>
                </c:pt>
                <c:pt idx="199">
                  <c:v>0.85016835016834724</c:v>
                </c:pt>
                <c:pt idx="200">
                  <c:v>0.86700336700336411</c:v>
                </c:pt>
                <c:pt idx="201">
                  <c:v>0.88383838383838098</c:v>
                </c:pt>
                <c:pt idx="202">
                  <c:v>0.90067340067339796</c:v>
                </c:pt>
                <c:pt idx="203">
                  <c:v>0.91750841750841483</c:v>
                </c:pt>
                <c:pt idx="204">
                  <c:v>0.9343434343434317</c:v>
                </c:pt>
                <c:pt idx="205">
                  <c:v>0.95117845117844857</c:v>
                </c:pt>
                <c:pt idx="206">
                  <c:v>0.96801346801346555</c:v>
                </c:pt>
                <c:pt idx="207">
                  <c:v>0.98484848484848242</c:v>
                </c:pt>
                <c:pt idx="208">
                  <c:v>0.99887766554433377</c:v>
                </c:pt>
                <c:pt idx="209">
                  <c:v>0.98765432098765582</c:v>
                </c:pt>
                <c:pt idx="210">
                  <c:v>0.97643097643097798</c:v>
                </c:pt>
                <c:pt idx="211">
                  <c:v>0.96520763187430014</c:v>
                </c:pt>
                <c:pt idx="212">
                  <c:v>0.95398428731762208</c:v>
                </c:pt>
                <c:pt idx="213">
                  <c:v>0.94276094276094402</c:v>
                </c:pt>
                <c:pt idx="214">
                  <c:v>0.93153759820426618</c:v>
                </c:pt>
                <c:pt idx="215">
                  <c:v>0.92031425364758834</c:v>
                </c:pt>
                <c:pt idx="216">
                  <c:v>0.90909090909091039</c:v>
                </c:pt>
                <c:pt idx="217">
                  <c:v>0.89786756453423233</c:v>
                </c:pt>
                <c:pt idx="218">
                  <c:v>0.88664421997755449</c:v>
                </c:pt>
                <c:pt idx="219">
                  <c:v>0.87542087542087665</c:v>
                </c:pt>
                <c:pt idx="220">
                  <c:v>0.86419753086419859</c:v>
                </c:pt>
                <c:pt idx="221">
                  <c:v>0.85297418630752064</c:v>
                </c:pt>
                <c:pt idx="222">
                  <c:v>0.8417508417508428</c:v>
                </c:pt>
                <c:pt idx="223">
                  <c:v>0.83052749719416497</c:v>
                </c:pt>
                <c:pt idx="224">
                  <c:v>0.81930415263748713</c:v>
                </c:pt>
                <c:pt idx="225">
                  <c:v>0.80808080808080929</c:v>
                </c:pt>
                <c:pt idx="226">
                  <c:v>0.79685746352413145</c:v>
                </c:pt>
                <c:pt idx="227">
                  <c:v>0.78563411896745361</c:v>
                </c:pt>
                <c:pt idx="228">
                  <c:v>0.77441077441077577</c:v>
                </c:pt>
                <c:pt idx="229">
                  <c:v>0.76318742985409793</c:v>
                </c:pt>
                <c:pt idx="230">
                  <c:v>0.75196408529742009</c:v>
                </c:pt>
                <c:pt idx="231">
                  <c:v>0.74074074074074225</c:v>
                </c:pt>
                <c:pt idx="232">
                  <c:v>0.72951739618406442</c:v>
                </c:pt>
                <c:pt idx="233">
                  <c:v>0.71829405162738658</c:v>
                </c:pt>
                <c:pt idx="234">
                  <c:v>0.70707070707070874</c:v>
                </c:pt>
                <c:pt idx="235">
                  <c:v>0.6958473625140309</c:v>
                </c:pt>
                <c:pt idx="236">
                  <c:v>0.68462401795735306</c:v>
                </c:pt>
                <c:pt idx="237">
                  <c:v>0.67340067340067522</c:v>
                </c:pt>
                <c:pt idx="238">
                  <c:v>0.66217732884399738</c:v>
                </c:pt>
                <c:pt idx="239">
                  <c:v>0.65095398428731954</c:v>
                </c:pt>
                <c:pt idx="240">
                  <c:v>0.6397306397306417</c:v>
                </c:pt>
                <c:pt idx="241">
                  <c:v>0.62850729517396386</c:v>
                </c:pt>
                <c:pt idx="242">
                  <c:v>0.61728395061728603</c:v>
                </c:pt>
                <c:pt idx="243">
                  <c:v>0.60606060606060819</c:v>
                </c:pt>
                <c:pt idx="244">
                  <c:v>0.59483726150393035</c:v>
                </c:pt>
                <c:pt idx="245">
                  <c:v>0.58361391694725251</c:v>
                </c:pt>
                <c:pt idx="246">
                  <c:v>0.57239057239057467</c:v>
                </c:pt>
                <c:pt idx="247">
                  <c:v>0.56116722783389683</c:v>
                </c:pt>
                <c:pt idx="248">
                  <c:v>0.54994388327721899</c:v>
                </c:pt>
                <c:pt idx="249">
                  <c:v>0.53872053872054115</c:v>
                </c:pt>
                <c:pt idx="250">
                  <c:v>0.52749719416386331</c:v>
                </c:pt>
                <c:pt idx="251">
                  <c:v>0.51627384960718548</c:v>
                </c:pt>
                <c:pt idx="252">
                  <c:v>0.50505050505050764</c:v>
                </c:pt>
                <c:pt idx="253">
                  <c:v>0.49382716049382974</c:v>
                </c:pt>
                <c:pt idx="254">
                  <c:v>0.4826038159371519</c:v>
                </c:pt>
                <c:pt idx="255">
                  <c:v>0.47138047138047406</c:v>
                </c:pt>
                <c:pt idx="256">
                  <c:v>0.46015712682379623</c:v>
                </c:pt>
                <c:pt idx="257">
                  <c:v>0.44893378226711839</c:v>
                </c:pt>
                <c:pt idx="258">
                  <c:v>0.43771043771044055</c:v>
                </c:pt>
                <c:pt idx="259">
                  <c:v>0.42648709315376271</c:v>
                </c:pt>
                <c:pt idx="260">
                  <c:v>0.41526374859708487</c:v>
                </c:pt>
                <c:pt idx="261">
                  <c:v>0.40404040404040703</c:v>
                </c:pt>
                <c:pt idx="262">
                  <c:v>0.39281705948372919</c:v>
                </c:pt>
                <c:pt idx="263">
                  <c:v>0.38159371492705135</c:v>
                </c:pt>
                <c:pt idx="264">
                  <c:v>0.37037037037037351</c:v>
                </c:pt>
                <c:pt idx="265">
                  <c:v>0.35914702581369568</c:v>
                </c:pt>
                <c:pt idx="266">
                  <c:v>0.34792368125701784</c:v>
                </c:pt>
                <c:pt idx="267">
                  <c:v>0.33670033670034</c:v>
                </c:pt>
                <c:pt idx="268">
                  <c:v>0.32547699214366216</c:v>
                </c:pt>
                <c:pt idx="269">
                  <c:v>0.31425364758698432</c:v>
                </c:pt>
                <c:pt idx="270">
                  <c:v>0.30303030303030648</c:v>
                </c:pt>
                <c:pt idx="271">
                  <c:v>0.29180695847362864</c:v>
                </c:pt>
                <c:pt idx="272">
                  <c:v>0.2805836139169508</c:v>
                </c:pt>
                <c:pt idx="273">
                  <c:v>0.26936026936027296</c:v>
                </c:pt>
                <c:pt idx="274">
                  <c:v>0.25813692480359512</c:v>
                </c:pt>
                <c:pt idx="275">
                  <c:v>0.24691358024691729</c:v>
                </c:pt>
                <c:pt idx="276">
                  <c:v>0.23569023569023945</c:v>
                </c:pt>
                <c:pt idx="277">
                  <c:v>0.22446689113356161</c:v>
                </c:pt>
                <c:pt idx="278">
                  <c:v>0.21324354657688377</c:v>
                </c:pt>
                <c:pt idx="279">
                  <c:v>0.20202020202020593</c:v>
                </c:pt>
                <c:pt idx="280">
                  <c:v>0.19079685746352809</c:v>
                </c:pt>
                <c:pt idx="281">
                  <c:v>0.17957351290685025</c:v>
                </c:pt>
                <c:pt idx="282">
                  <c:v>0.16835016835017241</c:v>
                </c:pt>
                <c:pt idx="283">
                  <c:v>0.15712682379349457</c:v>
                </c:pt>
                <c:pt idx="284">
                  <c:v>0.14590347923681674</c:v>
                </c:pt>
                <c:pt idx="285">
                  <c:v>0.1346801346801389</c:v>
                </c:pt>
                <c:pt idx="286">
                  <c:v>0.12345679012346104</c:v>
                </c:pt>
                <c:pt idx="287">
                  <c:v>0.1122334455667832</c:v>
                </c:pt>
                <c:pt idx="288">
                  <c:v>0.10101010101010537</c:v>
                </c:pt>
                <c:pt idx="289">
                  <c:v>8.9786756453427527E-2</c:v>
                </c:pt>
                <c:pt idx="290">
                  <c:v>7.8563411896749688E-2</c:v>
                </c:pt>
                <c:pt idx="291">
                  <c:v>6.7340067340071849E-2</c:v>
                </c:pt>
                <c:pt idx="292">
                  <c:v>5.611672278339401E-2</c:v>
                </c:pt>
                <c:pt idx="293">
                  <c:v>4.4893378226716171E-2</c:v>
                </c:pt>
                <c:pt idx="294">
                  <c:v>3.3670033670038332E-2</c:v>
                </c:pt>
                <c:pt idx="295">
                  <c:v>2.244668911336049E-2</c:v>
                </c:pt>
                <c:pt idx="296">
                  <c:v>1.1223344556682651E-2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2C-481F-91B2-BC88BBBAAD8D}"/>
            </c:ext>
          </c:extLst>
        </c:ser>
        <c:ser>
          <c:idx val="4"/>
          <c:order val="4"/>
          <c:tx>
            <c:strRef>
              <c:f>'Entrada P'!$H$7</c:f>
              <c:strCache>
                <c:ptCount val="1"/>
                <c:pt idx="0">
                  <c:v>MuyCerca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'Entrada P'!$B$9:$B$306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P'!$H$9:$H$306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1.1223344556661927E-3</c:v>
                </c:pt>
                <c:pt idx="209">
                  <c:v>1.2345679012344124E-2</c:v>
                </c:pt>
                <c:pt idx="210">
                  <c:v>2.3569023569022057E-2</c:v>
                </c:pt>
                <c:pt idx="211">
                  <c:v>3.4792368125699989E-2</c:v>
                </c:pt>
                <c:pt idx="212">
                  <c:v>4.6015712682377918E-2</c:v>
                </c:pt>
                <c:pt idx="213">
                  <c:v>5.7239057239055854E-2</c:v>
                </c:pt>
                <c:pt idx="214">
                  <c:v>6.846240179573379E-2</c:v>
                </c:pt>
                <c:pt idx="215">
                  <c:v>7.9685746352411713E-2</c:v>
                </c:pt>
                <c:pt idx="216">
                  <c:v>9.0909090909089649E-2</c:v>
                </c:pt>
                <c:pt idx="217">
                  <c:v>0.10213243546576758</c:v>
                </c:pt>
                <c:pt idx="218">
                  <c:v>0.11335578002244551</c:v>
                </c:pt>
                <c:pt idx="219">
                  <c:v>0.12457912457912344</c:v>
                </c:pt>
                <c:pt idx="220">
                  <c:v>0.13580246913580138</c:v>
                </c:pt>
                <c:pt idx="221">
                  <c:v>0.1470258136924793</c:v>
                </c:pt>
                <c:pt idx="222">
                  <c:v>0.15824915824915725</c:v>
                </c:pt>
                <c:pt idx="223">
                  <c:v>0.16947250280583509</c:v>
                </c:pt>
                <c:pt idx="224">
                  <c:v>0.18069584736251293</c:v>
                </c:pt>
                <c:pt idx="225">
                  <c:v>0.19191919191919077</c:v>
                </c:pt>
                <c:pt idx="226">
                  <c:v>0.20314253647586861</c:v>
                </c:pt>
                <c:pt idx="227">
                  <c:v>0.21436588103254645</c:v>
                </c:pt>
                <c:pt idx="228">
                  <c:v>0.22558922558922428</c:v>
                </c:pt>
                <c:pt idx="229">
                  <c:v>0.23681257014590212</c:v>
                </c:pt>
                <c:pt idx="230">
                  <c:v>0.24803591470257996</c:v>
                </c:pt>
                <c:pt idx="231">
                  <c:v>0.2592592592592578</c:v>
                </c:pt>
                <c:pt idx="232">
                  <c:v>0.27048260381593564</c:v>
                </c:pt>
                <c:pt idx="233">
                  <c:v>0.28170594837261348</c:v>
                </c:pt>
                <c:pt idx="234">
                  <c:v>0.29292929292929132</c:v>
                </c:pt>
                <c:pt idx="235">
                  <c:v>0.30415263748596916</c:v>
                </c:pt>
                <c:pt idx="236">
                  <c:v>0.315375982042647</c:v>
                </c:pt>
                <c:pt idx="237">
                  <c:v>0.32659932659932484</c:v>
                </c:pt>
                <c:pt idx="238">
                  <c:v>0.33782267115600267</c:v>
                </c:pt>
                <c:pt idx="239">
                  <c:v>0.34904601571268051</c:v>
                </c:pt>
                <c:pt idx="240">
                  <c:v>0.36026936026935835</c:v>
                </c:pt>
                <c:pt idx="241">
                  <c:v>0.37149270482603619</c:v>
                </c:pt>
                <c:pt idx="242">
                  <c:v>0.38271604938271403</c:v>
                </c:pt>
                <c:pt idx="243">
                  <c:v>0.39393939393939187</c:v>
                </c:pt>
                <c:pt idx="244">
                  <c:v>0.40516273849606971</c:v>
                </c:pt>
                <c:pt idx="245">
                  <c:v>0.41638608305274755</c:v>
                </c:pt>
                <c:pt idx="246">
                  <c:v>0.42760942760942539</c:v>
                </c:pt>
                <c:pt idx="247">
                  <c:v>0.43883277216610322</c:v>
                </c:pt>
                <c:pt idx="248">
                  <c:v>0.45005611672278106</c:v>
                </c:pt>
                <c:pt idx="249">
                  <c:v>0.4612794612794589</c:v>
                </c:pt>
                <c:pt idx="250">
                  <c:v>0.47250280583613674</c:v>
                </c:pt>
                <c:pt idx="251">
                  <c:v>0.48372615039281458</c:v>
                </c:pt>
                <c:pt idx="252">
                  <c:v>0.49494949494949242</c:v>
                </c:pt>
                <c:pt idx="253">
                  <c:v>0.50617283950617031</c:v>
                </c:pt>
                <c:pt idx="254">
                  <c:v>0.51739618406284815</c:v>
                </c:pt>
                <c:pt idx="255">
                  <c:v>0.52861952861952599</c:v>
                </c:pt>
                <c:pt idx="256">
                  <c:v>0.53984287317620383</c:v>
                </c:pt>
                <c:pt idx="257">
                  <c:v>0.55106621773288167</c:v>
                </c:pt>
                <c:pt idx="258">
                  <c:v>0.56228956228955951</c:v>
                </c:pt>
                <c:pt idx="259">
                  <c:v>0.57351290684623735</c:v>
                </c:pt>
                <c:pt idx="260">
                  <c:v>0.58473625140291519</c:v>
                </c:pt>
                <c:pt idx="261">
                  <c:v>0.59595959595959302</c:v>
                </c:pt>
                <c:pt idx="262">
                  <c:v>0.60718294051627086</c:v>
                </c:pt>
                <c:pt idx="263">
                  <c:v>0.6184062850729487</c:v>
                </c:pt>
                <c:pt idx="264">
                  <c:v>0.62962962962962654</c:v>
                </c:pt>
                <c:pt idx="265">
                  <c:v>0.64085297418630438</c:v>
                </c:pt>
                <c:pt idx="266">
                  <c:v>0.65207631874298222</c:v>
                </c:pt>
                <c:pt idx="267">
                  <c:v>0.66329966329966006</c:v>
                </c:pt>
                <c:pt idx="268">
                  <c:v>0.6745230078563379</c:v>
                </c:pt>
                <c:pt idx="269">
                  <c:v>0.68574635241301574</c:v>
                </c:pt>
                <c:pt idx="270">
                  <c:v>0.69696969696969358</c:v>
                </c:pt>
                <c:pt idx="271">
                  <c:v>0.70819304152637141</c:v>
                </c:pt>
                <c:pt idx="272">
                  <c:v>0.71941638608304925</c:v>
                </c:pt>
                <c:pt idx="273">
                  <c:v>0.73063973063972709</c:v>
                </c:pt>
                <c:pt idx="274">
                  <c:v>0.74186307519640493</c:v>
                </c:pt>
                <c:pt idx="275">
                  <c:v>0.75308641975308277</c:v>
                </c:pt>
                <c:pt idx="276">
                  <c:v>0.76430976430976061</c:v>
                </c:pt>
                <c:pt idx="277">
                  <c:v>0.77553310886643845</c:v>
                </c:pt>
                <c:pt idx="278">
                  <c:v>0.78675645342311629</c:v>
                </c:pt>
                <c:pt idx="279">
                  <c:v>0.79797979797979413</c:v>
                </c:pt>
                <c:pt idx="280">
                  <c:v>0.80920314253647196</c:v>
                </c:pt>
                <c:pt idx="281">
                  <c:v>0.8204264870931498</c:v>
                </c:pt>
                <c:pt idx="282">
                  <c:v>0.83164983164982764</c:v>
                </c:pt>
                <c:pt idx="283">
                  <c:v>0.84287317620650548</c:v>
                </c:pt>
                <c:pt idx="284">
                  <c:v>0.85409652076318332</c:v>
                </c:pt>
                <c:pt idx="285">
                  <c:v>0.86531986531986116</c:v>
                </c:pt>
                <c:pt idx="286">
                  <c:v>0.876543209876539</c:v>
                </c:pt>
                <c:pt idx="287">
                  <c:v>0.88776655443321684</c:v>
                </c:pt>
                <c:pt idx="288">
                  <c:v>0.89898989898989468</c:v>
                </c:pt>
                <c:pt idx="289">
                  <c:v>0.91021324354657251</c:v>
                </c:pt>
                <c:pt idx="290">
                  <c:v>0.92143658810325035</c:v>
                </c:pt>
                <c:pt idx="291">
                  <c:v>0.93265993265992819</c:v>
                </c:pt>
                <c:pt idx="292">
                  <c:v>0.94388327721660603</c:v>
                </c:pt>
                <c:pt idx="293">
                  <c:v>0.95510662177328387</c:v>
                </c:pt>
                <c:pt idx="294">
                  <c:v>0.96632996632996171</c:v>
                </c:pt>
                <c:pt idx="295">
                  <c:v>0.97755331088663955</c:v>
                </c:pt>
                <c:pt idx="296">
                  <c:v>0.98877665544331739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C-481F-91B2-BC88BBBAA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359368"/>
        <c:axId val="268359760"/>
      </c:lineChart>
      <c:catAx>
        <c:axId val="2683593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59760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26835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5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Componente Derivativo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'Entrada D'!$D$7</c:f>
              <c:strCache>
                <c:ptCount val="1"/>
                <c:pt idx="0">
                  <c:v>Alejándose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D'!$D$9:$D$306</c:f>
              <c:numCache>
                <c:formatCode>General</c:formatCode>
                <c:ptCount val="29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0.99326599326600007</c:v>
                </c:pt>
                <c:pt idx="120">
                  <c:v>0.95959595959596644</c:v>
                </c:pt>
                <c:pt idx="121">
                  <c:v>0.92592592592593281</c:v>
                </c:pt>
                <c:pt idx="122">
                  <c:v>0.89225589225589907</c:v>
                </c:pt>
                <c:pt idx="123">
                  <c:v>0.85858585858586545</c:v>
                </c:pt>
                <c:pt idx="124">
                  <c:v>0.82491582491583182</c:v>
                </c:pt>
                <c:pt idx="125">
                  <c:v>0.79124579124579819</c:v>
                </c:pt>
                <c:pt idx="126">
                  <c:v>0.75757575757576445</c:v>
                </c:pt>
                <c:pt idx="127">
                  <c:v>0.72390572390573082</c:v>
                </c:pt>
                <c:pt idx="128">
                  <c:v>0.6902356902356972</c:v>
                </c:pt>
                <c:pt idx="129">
                  <c:v>0.65656565656566357</c:v>
                </c:pt>
                <c:pt idx="130">
                  <c:v>0.62289562289562983</c:v>
                </c:pt>
                <c:pt idx="131">
                  <c:v>0.5892255892255962</c:v>
                </c:pt>
                <c:pt idx="132">
                  <c:v>0.55555555555556257</c:v>
                </c:pt>
                <c:pt idx="133">
                  <c:v>0.52188552188552895</c:v>
                </c:pt>
                <c:pt idx="134">
                  <c:v>0.48821548821549526</c:v>
                </c:pt>
                <c:pt idx="135">
                  <c:v>0.45454545454546164</c:v>
                </c:pt>
                <c:pt idx="136">
                  <c:v>0.42087542087542795</c:v>
                </c:pt>
                <c:pt idx="137">
                  <c:v>0.38720538720539432</c:v>
                </c:pt>
                <c:pt idx="138">
                  <c:v>0.35353535353536064</c:v>
                </c:pt>
                <c:pt idx="139">
                  <c:v>0.31986531986532701</c:v>
                </c:pt>
                <c:pt idx="140">
                  <c:v>0.28619528619529333</c:v>
                </c:pt>
                <c:pt idx="141">
                  <c:v>0.2525252525252597</c:v>
                </c:pt>
                <c:pt idx="142">
                  <c:v>0.21885521885522605</c:v>
                </c:pt>
                <c:pt idx="143">
                  <c:v>0.18518518518519239</c:v>
                </c:pt>
                <c:pt idx="144">
                  <c:v>0.15151515151515871</c:v>
                </c:pt>
                <c:pt idx="145">
                  <c:v>0.11784511784512504</c:v>
                </c:pt>
                <c:pt idx="146">
                  <c:v>8.4175084175091369E-2</c:v>
                </c:pt>
                <c:pt idx="147">
                  <c:v>5.05050505050577E-2</c:v>
                </c:pt>
                <c:pt idx="148">
                  <c:v>1.683501683502403E-2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CC-474B-85B1-840BDB4C3A13}"/>
            </c:ext>
          </c:extLst>
        </c:ser>
        <c:ser>
          <c:idx val="1"/>
          <c:order val="1"/>
          <c:tx>
            <c:strRef>
              <c:f>'Entrada D'!$E$7</c:f>
              <c:strCache>
                <c:ptCount val="1"/>
                <c:pt idx="0">
                  <c:v>SinCambio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D'!$E$9:$E$306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6.734006733999931E-3</c:v>
                </c:pt>
                <c:pt idx="120">
                  <c:v>4.0404040404033587E-2</c:v>
                </c:pt>
                <c:pt idx="121">
                  <c:v>7.4074074074067242E-2</c:v>
                </c:pt>
                <c:pt idx="122">
                  <c:v>0.1077441077441009</c:v>
                </c:pt>
                <c:pt idx="123">
                  <c:v>0.14141414141413455</c:v>
                </c:pt>
                <c:pt idx="124">
                  <c:v>0.17508417508416821</c:v>
                </c:pt>
                <c:pt idx="125">
                  <c:v>0.20875420875420186</c:v>
                </c:pt>
                <c:pt idx="126">
                  <c:v>0.24242424242423552</c:v>
                </c:pt>
                <c:pt idx="127">
                  <c:v>0.27609427609426918</c:v>
                </c:pt>
                <c:pt idx="128">
                  <c:v>0.3097643097643028</c:v>
                </c:pt>
                <c:pt idx="129">
                  <c:v>0.34343434343433649</c:v>
                </c:pt>
                <c:pt idx="130">
                  <c:v>0.37710437710437011</c:v>
                </c:pt>
                <c:pt idx="131">
                  <c:v>0.4107744107744038</c:v>
                </c:pt>
                <c:pt idx="132">
                  <c:v>0.44444444444443743</c:v>
                </c:pt>
                <c:pt idx="133">
                  <c:v>0.47811447811447111</c:v>
                </c:pt>
                <c:pt idx="134">
                  <c:v>0.51178451178450468</c:v>
                </c:pt>
                <c:pt idx="135">
                  <c:v>0.54545454545453842</c:v>
                </c:pt>
                <c:pt idx="136">
                  <c:v>0.57912457912457205</c:v>
                </c:pt>
                <c:pt idx="137">
                  <c:v>0.61279461279460568</c:v>
                </c:pt>
                <c:pt idx="138">
                  <c:v>0.6464646464646393</c:v>
                </c:pt>
                <c:pt idx="139">
                  <c:v>0.68013468013467304</c:v>
                </c:pt>
                <c:pt idx="140">
                  <c:v>0.71380471380470667</c:v>
                </c:pt>
                <c:pt idx="141">
                  <c:v>0.7474747474747403</c:v>
                </c:pt>
                <c:pt idx="142">
                  <c:v>0.78114478114477393</c:v>
                </c:pt>
                <c:pt idx="143">
                  <c:v>0.81481481481480766</c:v>
                </c:pt>
                <c:pt idx="144">
                  <c:v>0.84848484848484129</c:v>
                </c:pt>
                <c:pt idx="145">
                  <c:v>0.88215488215487492</c:v>
                </c:pt>
                <c:pt idx="146">
                  <c:v>0.91582491582490855</c:v>
                </c:pt>
                <c:pt idx="147">
                  <c:v>0.94949494949494229</c:v>
                </c:pt>
                <c:pt idx="148">
                  <c:v>0.98316498316497603</c:v>
                </c:pt>
                <c:pt idx="149">
                  <c:v>0.98316498316499035</c:v>
                </c:pt>
                <c:pt idx="150">
                  <c:v>0.94949494949495672</c:v>
                </c:pt>
                <c:pt idx="151">
                  <c:v>0.91582491582492298</c:v>
                </c:pt>
                <c:pt idx="152">
                  <c:v>0.88215488215488935</c:v>
                </c:pt>
                <c:pt idx="153">
                  <c:v>0.84848484848485572</c:v>
                </c:pt>
                <c:pt idx="154">
                  <c:v>0.8148148148148221</c:v>
                </c:pt>
                <c:pt idx="155">
                  <c:v>0.78114478114478836</c:v>
                </c:pt>
                <c:pt idx="156">
                  <c:v>0.74747474747475473</c:v>
                </c:pt>
                <c:pt idx="157">
                  <c:v>0.7138047138047211</c:v>
                </c:pt>
                <c:pt idx="158">
                  <c:v>0.68013468013468747</c:v>
                </c:pt>
                <c:pt idx="159">
                  <c:v>0.64646464646465363</c:v>
                </c:pt>
                <c:pt idx="160">
                  <c:v>0.61279461279462011</c:v>
                </c:pt>
                <c:pt idx="161">
                  <c:v>0.57912457912458637</c:v>
                </c:pt>
                <c:pt idx="162">
                  <c:v>0.54545454545455274</c:v>
                </c:pt>
                <c:pt idx="163">
                  <c:v>0.51178451178451911</c:v>
                </c:pt>
                <c:pt idx="164">
                  <c:v>0.47811447811448543</c:v>
                </c:pt>
                <c:pt idx="165">
                  <c:v>0.4444444444444518</c:v>
                </c:pt>
                <c:pt idx="166">
                  <c:v>0.41077441077441812</c:v>
                </c:pt>
                <c:pt idx="167">
                  <c:v>0.37710437710438449</c:v>
                </c:pt>
                <c:pt idx="168">
                  <c:v>0.34343434343435075</c:v>
                </c:pt>
                <c:pt idx="169">
                  <c:v>0.30976430976431713</c:v>
                </c:pt>
                <c:pt idx="170">
                  <c:v>0.27609427609428344</c:v>
                </c:pt>
                <c:pt idx="171">
                  <c:v>0.24242424242424981</c:v>
                </c:pt>
                <c:pt idx="172">
                  <c:v>0.20875420875421616</c:v>
                </c:pt>
                <c:pt idx="173">
                  <c:v>0.1750841750841825</c:v>
                </c:pt>
                <c:pt idx="174">
                  <c:v>0.14141414141414885</c:v>
                </c:pt>
                <c:pt idx="175">
                  <c:v>0.10774410774411519</c:v>
                </c:pt>
                <c:pt idx="176">
                  <c:v>7.4074074074081536E-2</c:v>
                </c:pt>
                <c:pt idx="177">
                  <c:v>4.0404040404047881E-2</c:v>
                </c:pt>
                <c:pt idx="178">
                  <c:v>6.7340067340142251E-3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CC-474B-85B1-840BDB4C3A13}"/>
            </c:ext>
          </c:extLst>
        </c:ser>
        <c:ser>
          <c:idx val="2"/>
          <c:order val="2"/>
          <c:tx>
            <c:strRef>
              <c:f>'Entrada D'!$F$7</c:f>
              <c:strCache>
                <c:ptCount val="1"/>
                <c:pt idx="0">
                  <c:v>Acercándose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'Entrada D'!$B$9:$B$306</c:f>
              <c:numCache>
                <c:formatCode>0.00</c:formatCode>
                <c:ptCount val="298"/>
                <c:pt idx="0" formatCode="General">
                  <c:v>-1</c:v>
                </c:pt>
                <c:pt idx="1">
                  <c:v>-0.9932659932659933</c:v>
                </c:pt>
                <c:pt idx="2">
                  <c:v>-0.98653198653198659</c:v>
                </c:pt>
                <c:pt idx="3">
                  <c:v>-0.97979797979797989</c:v>
                </c:pt>
                <c:pt idx="4">
                  <c:v>-0.97306397306397319</c:v>
                </c:pt>
                <c:pt idx="5">
                  <c:v>-0.96632996632996648</c:v>
                </c:pt>
                <c:pt idx="6">
                  <c:v>-0.95959595959595978</c:v>
                </c:pt>
                <c:pt idx="7">
                  <c:v>-0.95286195286195308</c:v>
                </c:pt>
                <c:pt idx="8">
                  <c:v>-0.94612794612794637</c:v>
                </c:pt>
                <c:pt idx="9">
                  <c:v>-0.93939393939393967</c:v>
                </c:pt>
                <c:pt idx="10">
                  <c:v>-0.93265993265993297</c:v>
                </c:pt>
                <c:pt idx="11">
                  <c:v>-0.92592592592592626</c:v>
                </c:pt>
                <c:pt idx="12">
                  <c:v>-0.91919191919191956</c:v>
                </c:pt>
                <c:pt idx="13">
                  <c:v>-0.91245791245791286</c:v>
                </c:pt>
                <c:pt idx="14">
                  <c:v>-0.90572390572390615</c:v>
                </c:pt>
                <c:pt idx="15">
                  <c:v>-0.89898989898989945</c:v>
                </c:pt>
                <c:pt idx="16">
                  <c:v>-0.89225589225589275</c:v>
                </c:pt>
                <c:pt idx="17">
                  <c:v>-0.88552188552188604</c:v>
                </c:pt>
                <c:pt idx="18">
                  <c:v>-0.87878787878787934</c:v>
                </c:pt>
                <c:pt idx="19">
                  <c:v>-0.87205387205387264</c:v>
                </c:pt>
                <c:pt idx="20">
                  <c:v>-0.86531986531986593</c:v>
                </c:pt>
                <c:pt idx="21">
                  <c:v>-0.85858585858585923</c:v>
                </c:pt>
                <c:pt idx="22">
                  <c:v>-0.85185185185185253</c:v>
                </c:pt>
                <c:pt idx="23">
                  <c:v>-0.84511784511784582</c:v>
                </c:pt>
                <c:pt idx="24">
                  <c:v>-0.83838383838383912</c:v>
                </c:pt>
                <c:pt idx="25">
                  <c:v>-0.83164983164983242</c:v>
                </c:pt>
                <c:pt idx="26">
                  <c:v>-0.82491582491582571</c:v>
                </c:pt>
                <c:pt idx="27">
                  <c:v>-0.81818181818181901</c:v>
                </c:pt>
                <c:pt idx="28">
                  <c:v>-0.81144781144781231</c:v>
                </c:pt>
                <c:pt idx="29">
                  <c:v>-0.8047138047138056</c:v>
                </c:pt>
                <c:pt idx="30">
                  <c:v>-0.7979797979797989</c:v>
                </c:pt>
                <c:pt idx="31">
                  <c:v>-0.7912457912457922</c:v>
                </c:pt>
                <c:pt idx="32">
                  <c:v>-0.78451178451178549</c:v>
                </c:pt>
                <c:pt idx="33">
                  <c:v>-0.77777777777777879</c:v>
                </c:pt>
                <c:pt idx="34">
                  <c:v>-0.77104377104377209</c:v>
                </c:pt>
                <c:pt idx="35">
                  <c:v>-0.76430976430976538</c:v>
                </c:pt>
                <c:pt idx="36">
                  <c:v>-0.75757575757575868</c:v>
                </c:pt>
                <c:pt idx="37">
                  <c:v>-0.75084175084175198</c:v>
                </c:pt>
                <c:pt idx="38">
                  <c:v>-0.74410774410774527</c:v>
                </c:pt>
                <c:pt idx="39">
                  <c:v>-0.73737373737373857</c:v>
                </c:pt>
                <c:pt idx="40">
                  <c:v>-0.73063973063973187</c:v>
                </c:pt>
                <c:pt idx="41">
                  <c:v>-0.72390572390572516</c:v>
                </c:pt>
                <c:pt idx="42">
                  <c:v>-0.71717171717171846</c:v>
                </c:pt>
                <c:pt idx="43">
                  <c:v>-0.71043771043771176</c:v>
                </c:pt>
                <c:pt idx="44">
                  <c:v>-0.70370370370370505</c:v>
                </c:pt>
                <c:pt idx="45">
                  <c:v>-0.69696969696969835</c:v>
                </c:pt>
                <c:pt idx="46">
                  <c:v>-0.69023569023569165</c:v>
                </c:pt>
                <c:pt idx="47">
                  <c:v>-0.68350168350168494</c:v>
                </c:pt>
                <c:pt idx="48">
                  <c:v>-0.67676767676767824</c:v>
                </c:pt>
                <c:pt idx="49">
                  <c:v>-0.67003367003367154</c:v>
                </c:pt>
                <c:pt idx="50">
                  <c:v>-0.66329966329966483</c:v>
                </c:pt>
                <c:pt idx="51">
                  <c:v>-0.65656565656565813</c:v>
                </c:pt>
                <c:pt idx="52">
                  <c:v>-0.64983164983165143</c:v>
                </c:pt>
                <c:pt idx="53">
                  <c:v>-0.64309764309764472</c:v>
                </c:pt>
                <c:pt idx="54">
                  <c:v>-0.63636363636363802</c:v>
                </c:pt>
                <c:pt idx="55">
                  <c:v>-0.62962962962963132</c:v>
                </c:pt>
                <c:pt idx="56">
                  <c:v>-0.62289562289562461</c:v>
                </c:pt>
                <c:pt idx="57">
                  <c:v>-0.61616161616161791</c:v>
                </c:pt>
                <c:pt idx="58">
                  <c:v>-0.60942760942761121</c:v>
                </c:pt>
                <c:pt idx="59">
                  <c:v>-0.6026936026936045</c:v>
                </c:pt>
                <c:pt idx="60">
                  <c:v>-0.5959595959595978</c:v>
                </c:pt>
                <c:pt idx="61">
                  <c:v>-0.5892255892255911</c:v>
                </c:pt>
                <c:pt idx="62">
                  <c:v>-0.58249158249158439</c:v>
                </c:pt>
                <c:pt idx="63">
                  <c:v>-0.57575757575757769</c:v>
                </c:pt>
                <c:pt idx="64">
                  <c:v>-0.56902356902357099</c:v>
                </c:pt>
                <c:pt idx="65">
                  <c:v>-0.56228956228956428</c:v>
                </c:pt>
                <c:pt idx="66">
                  <c:v>-0.55555555555555758</c:v>
                </c:pt>
                <c:pt idx="67">
                  <c:v>-0.54882154882155088</c:v>
                </c:pt>
                <c:pt idx="68">
                  <c:v>-0.54208754208754417</c:v>
                </c:pt>
                <c:pt idx="69">
                  <c:v>-0.53535353535353747</c:v>
                </c:pt>
                <c:pt idx="70">
                  <c:v>-0.52861952861953077</c:v>
                </c:pt>
                <c:pt idx="71">
                  <c:v>-0.52188552188552406</c:v>
                </c:pt>
                <c:pt idx="72">
                  <c:v>-0.51515151515151736</c:v>
                </c:pt>
                <c:pt idx="73">
                  <c:v>-0.50841750841751066</c:v>
                </c:pt>
                <c:pt idx="74">
                  <c:v>-0.50168350168350395</c:v>
                </c:pt>
                <c:pt idx="75">
                  <c:v>-0.49494949494949719</c:v>
                </c:pt>
                <c:pt idx="76">
                  <c:v>-0.48821548821549043</c:v>
                </c:pt>
                <c:pt idx="77">
                  <c:v>-0.48148148148148368</c:v>
                </c:pt>
                <c:pt idx="78">
                  <c:v>-0.47474747474747692</c:v>
                </c:pt>
                <c:pt idx="79">
                  <c:v>-0.46801346801347016</c:v>
                </c:pt>
                <c:pt idx="80">
                  <c:v>-0.4612794612794634</c:v>
                </c:pt>
                <c:pt idx="81">
                  <c:v>-0.45454545454545664</c:v>
                </c:pt>
                <c:pt idx="82">
                  <c:v>-0.44781144781144988</c:v>
                </c:pt>
                <c:pt idx="83">
                  <c:v>-0.44107744107744312</c:v>
                </c:pt>
                <c:pt idx="84">
                  <c:v>-0.43434343434343636</c:v>
                </c:pt>
                <c:pt idx="85">
                  <c:v>-0.4276094276094296</c:v>
                </c:pt>
                <c:pt idx="86">
                  <c:v>-0.42087542087542285</c:v>
                </c:pt>
                <c:pt idx="87">
                  <c:v>-0.41414141414141609</c:v>
                </c:pt>
                <c:pt idx="88">
                  <c:v>-0.40740740740740933</c:v>
                </c:pt>
                <c:pt idx="89">
                  <c:v>-0.40067340067340257</c:v>
                </c:pt>
                <c:pt idx="90">
                  <c:v>-0.39393939393939581</c:v>
                </c:pt>
                <c:pt idx="91">
                  <c:v>-0.38720538720538905</c:v>
                </c:pt>
                <c:pt idx="92">
                  <c:v>-0.38047138047138229</c:v>
                </c:pt>
                <c:pt idx="93">
                  <c:v>-0.37373737373737553</c:v>
                </c:pt>
                <c:pt idx="94">
                  <c:v>-0.36700336700336877</c:v>
                </c:pt>
                <c:pt idx="95">
                  <c:v>-0.36026936026936202</c:v>
                </c:pt>
                <c:pt idx="96">
                  <c:v>-0.35353535353535526</c:v>
                </c:pt>
                <c:pt idx="97">
                  <c:v>-0.3468013468013485</c:v>
                </c:pt>
                <c:pt idx="98">
                  <c:v>-0.34006734006734174</c:v>
                </c:pt>
                <c:pt idx="99">
                  <c:v>-0.33333333333333498</c:v>
                </c:pt>
                <c:pt idx="100">
                  <c:v>-0.32659932659932822</c:v>
                </c:pt>
                <c:pt idx="101">
                  <c:v>-0.31986531986532146</c:v>
                </c:pt>
                <c:pt idx="102">
                  <c:v>-0.3131313131313147</c:v>
                </c:pt>
                <c:pt idx="103">
                  <c:v>-0.30639730639730794</c:v>
                </c:pt>
                <c:pt idx="104">
                  <c:v>-0.29966329966330119</c:v>
                </c:pt>
                <c:pt idx="105">
                  <c:v>-0.29292929292929443</c:v>
                </c:pt>
                <c:pt idx="106">
                  <c:v>-0.28619528619528767</c:v>
                </c:pt>
                <c:pt idx="107">
                  <c:v>-0.27946127946128091</c:v>
                </c:pt>
                <c:pt idx="108">
                  <c:v>-0.27272727272727415</c:v>
                </c:pt>
                <c:pt idx="109">
                  <c:v>-0.26599326599326739</c:v>
                </c:pt>
                <c:pt idx="110">
                  <c:v>-0.25925925925926063</c:v>
                </c:pt>
                <c:pt idx="111">
                  <c:v>-0.25252525252525387</c:v>
                </c:pt>
                <c:pt idx="112">
                  <c:v>-0.24579124579124714</c:v>
                </c:pt>
                <c:pt idx="113">
                  <c:v>-0.23905723905724041</c:v>
                </c:pt>
                <c:pt idx="114">
                  <c:v>-0.23232323232323368</c:v>
                </c:pt>
                <c:pt idx="115">
                  <c:v>-0.22558922558922695</c:v>
                </c:pt>
                <c:pt idx="116">
                  <c:v>-0.21885521885522022</c:v>
                </c:pt>
                <c:pt idx="117">
                  <c:v>-0.21212121212121349</c:v>
                </c:pt>
                <c:pt idx="118">
                  <c:v>-0.20538720538720676</c:v>
                </c:pt>
                <c:pt idx="119">
                  <c:v>-0.19865319865320002</c:v>
                </c:pt>
                <c:pt idx="120">
                  <c:v>-0.19191919191919329</c:v>
                </c:pt>
                <c:pt idx="121">
                  <c:v>-0.18518518518518656</c:v>
                </c:pt>
                <c:pt idx="122">
                  <c:v>-0.17845117845117983</c:v>
                </c:pt>
                <c:pt idx="123">
                  <c:v>-0.1717171717171731</c:v>
                </c:pt>
                <c:pt idx="124">
                  <c:v>-0.16498316498316637</c:v>
                </c:pt>
                <c:pt idx="125">
                  <c:v>-0.15824915824915964</c:v>
                </c:pt>
                <c:pt idx="126">
                  <c:v>-0.15151515151515291</c:v>
                </c:pt>
                <c:pt idx="127">
                  <c:v>-0.14478114478114618</c:v>
                </c:pt>
                <c:pt idx="128">
                  <c:v>-0.13804713804713944</c:v>
                </c:pt>
                <c:pt idx="129">
                  <c:v>-0.13131313131313271</c:v>
                </c:pt>
                <c:pt idx="130">
                  <c:v>-0.12457912457912598</c:v>
                </c:pt>
                <c:pt idx="131">
                  <c:v>-0.11784511784511925</c:v>
                </c:pt>
                <c:pt idx="132">
                  <c:v>-0.11111111111111252</c:v>
                </c:pt>
                <c:pt idx="133">
                  <c:v>-0.10437710437710579</c:v>
                </c:pt>
                <c:pt idx="134">
                  <c:v>-9.7643097643099058E-2</c:v>
                </c:pt>
                <c:pt idx="135">
                  <c:v>-9.0909090909092327E-2</c:v>
                </c:pt>
                <c:pt idx="136">
                  <c:v>-8.4175084175085596E-2</c:v>
                </c:pt>
                <c:pt idx="137">
                  <c:v>-7.7441077441078865E-2</c:v>
                </c:pt>
                <c:pt idx="138">
                  <c:v>-7.0707070707072134E-2</c:v>
                </c:pt>
                <c:pt idx="139">
                  <c:v>-6.3973063973065403E-2</c:v>
                </c:pt>
                <c:pt idx="140">
                  <c:v>-5.7239057239058672E-2</c:v>
                </c:pt>
                <c:pt idx="141">
                  <c:v>-5.050505050505194E-2</c:v>
                </c:pt>
                <c:pt idx="142">
                  <c:v>-4.3771043771045209E-2</c:v>
                </c:pt>
                <c:pt idx="143">
                  <c:v>-3.7037037037038478E-2</c:v>
                </c:pt>
                <c:pt idx="144">
                  <c:v>-3.0303030303031744E-2</c:v>
                </c:pt>
                <c:pt idx="145">
                  <c:v>-2.3569023569025009E-2</c:v>
                </c:pt>
                <c:pt idx="146">
                  <c:v>-1.6835016835018275E-2</c:v>
                </c:pt>
                <c:pt idx="147">
                  <c:v>-1.010101010101154E-2</c:v>
                </c:pt>
                <c:pt idx="148">
                  <c:v>-3.3670033670048062E-3</c:v>
                </c:pt>
                <c:pt idx="149">
                  <c:v>3.3670033670019275E-3</c:v>
                </c:pt>
                <c:pt idx="150">
                  <c:v>1.010101010100866E-2</c:v>
                </c:pt>
                <c:pt idx="151">
                  <c:v>1.6835016835015395E-2</c:v>
                </c:pt>
                <c:pt idx="152">
                  <c:v>2.3569023569022129E-2</c:v>
                </c:pt>
                <c:pt idx="153">
                  <c:v>3.0303030303028864E-2</c:v>
                </c:pt>
                <c:pt idx="154">
                  <c:v>3.7037037037035599E-2</c:v>
                </c:pt>
                <c:pt idx="155">
                  <c:v>4.377104377104233E-2</c:v>
                </c:pt>
                <c:pt idx="156">
                  <c:v>5.0505050505049061E-2</c:v>
                </c:pt>
                <c:pt idx="157">
                  <c:v>5.7239057239055792E-2</c:v>
                </c:pt>
                <c:pt idx="158">
                  <c:v>6.397306397306253E-2</c:v>
                </c:pt>
                <c:pt idx="159">
                  <c:v>7.0707070707069261E-2</c:v>
                </c:pt>
                <c:pt idx="160">
                  <c:v>7.7441077441075992E-2</c:v>
                </c:pt>
                <c:pt idx="161">
                  <c:v>8.4175084175082723E-2</c:v>
                </c:pt>
                <c:pt idx="162">
                  <c:v>9.0909090909089454E-2</c:v>
                </c:pt>
                <c:pt idx="163">
                  <c:v>9.7643097643096186E-2</c:v>
                </c:pt>
                <c:pt idx="164">
                  <c:v>0.10437710437710292</c:v>
                </c:pt>
                <c:pt idx="165">
                  <c:v>0.11111111111110965</c:v>
                </c:pt>
                <c:pt idx="166">
                  <c:v>0.11784511784511638</c:v>
                </c:pt>
                <c:pt idx="167">
                  <c:v>0.12457912457912311</c:v>
                </c:pt>
                <c:pt idx="168">
                  <c:v>0.13131313131312985</c:v>
                </c:pt>
                <c:pt idx="169">
                  <c:v>0.13804713804713659</c:v>
                </c:pt>
                <c:pt idx="170">
                  <c:v>0.14478114478114332</c:v>
                </c:pt>
                <c:pt idx="171">
                  <c:v>0.15151515151515005</c:v>
                </c:pt>
                <c:pt idx="172">
                  <c:v>0.15824915824915678</c:v>
                </c:pt>
                <c:pt idx="173">
                  <c:v>0.16498316498316351</c:v>
                </c:pt>
                <c:pt idx="174">
                  <c:v>0.17171717171717024</c:v>
                </c:pt>
                <c:pt idx="175">
                  <c:v>0.17845117845117697</c:v>
                </c:pt>
                <c:pt idx="176">
                  <c:v>0.1851851851851837</c:v>
                </c:pt>
                <c:pt idx="177">
                  <c:v>0.19191919191919043</c:v>
                </c:pt>
                <c:pt idx="178">
                  <c:v>0.19865319865319717</c:v>
                </c:pt>
                <c:pt idx="179">
                  <c:v>0.2053872053872039</c:v>
                </c:pt>
                <c:pt idx="180">
                  <c:v>0.21212121212121063</c:v>
                </c:pt>
                <c:pt idx="181">
                  <c:v>0.21885521885521736</c:v>
                </c:pt>
                <c:pt idx="182">
                  <c:v>0.22558922558922409</c:v>
                </c:pt>
                <c:pt idx="183">
                  <c:v>0.23232323232323082</c:v>
                </c:pt>
                <c:pt idx="184">
                  <c:v>0.23905723905723755</c:v>
                </c:pt>
                <c:pt idx="185">
                  <c:v>0.24579124579124428</c:v>
                </c:pt>
                <c:pt idx="186">
                  <c:v>0.25252525252525104</c:v>
                </c:pt>
                <c:pt idx="187">
                  <c:v>0.2592592592592578</c:v>
                </c:pt>
                <c:pt idx="188">
                  <c:v>0.26599326599326456</c:v>
                </c:pt>
                <c:pt idx="189">
                  <c:v>0.27272727272727132</c:v>
                </c:pt>
                <c:pt idx="190">
                  <c:v>0.27946127946127808</c:v>
                </c:pt>
                <c:pt idx="191">
                  <c:v>0.28619528619528484</c:v>
                </c:pt>
                <c:pt idx="192">
                  <c:v>0.2929292929292916</c:v>
                </c:pt>
                <c:pt idx="193">
                  <c:v>0.29966329966329835</c:v>
                </c:pt>
                <c:pt idx="194">
                  <c:v>0.30639730639730511</c:v>
                </c:pt>
                <c:pt idx="195">
                  <c:v>0.31313131313131187</c:v>
                </c:pt>
                <c:pt idx="196">
                  <c:v>0.31986531986531863</c:v>
                </c:pt>
                <c:pt idx="197">
                  <c:v>0.32659932659932539</c:v>
                </c:pt>
                <c:pt idx="198">
                  <c:v>0.33333333333333215</c:v>
                </c:pt>
                <c:pt idx="199">
                  <c:v>0.34006734006733891</c:v>
                </c:pt>
                <c:pt idx="200">
                  <c:v>0.34680134680134567</c:v>
                </c:pt>
                <c:pt idx="201">
                  <c:v>0.35353535353535243</c:v>
                </c:pt>
                <c:pt idx="202">
                  <c:v>0.36026936026935918</c:v>
                </c:pt>
                <c:pt idx="203">
                  <c:v>0.36700336700336594</c:v>
                </c:pt>
                <c:pt idx="204">
                  <c:v>0.3737373737373727</c:v>
                </c:pt>
                <c:pt idx="205">
                  <c:v>0.38047138047137946</c:v>
                </c:pt>
                <c:pt idx="206">
                  <c:v>0.38720538720538622</c:v>
                </c:pt>
                <c:pt idx="207">
                  <c:v>0.39393939393939298</c:v>
                </c:pt>
                <c:pt idx="208">
                  <c:v>0.40067340067339974</c:v>
                </c:pt>
                <c:pt idx="209">
                  <c:v>0.4074074074074065</c:v>
                </c:pt>
                <c:pt idx="210">
                  <c:v>0.41414141414141326</c:v>
                </c:pt>
                <c:pt idx="211">
                  <c:v>0.42087542087542001</c:v>
                </c:pt>
                <c:pt idx="212">
                  <c:v>0.42760942760942677</c:v>
                </c:pt>
                <c:pt idx="213">
                  <c:v>0.43434343434343353</c:v>
                </c:pt>
                <c:pt idx="214">
                  <c:v>0.44107744107744029</c:v>
                </c:pt>
                <c:pt idx="215">
                  <c:v>0.44781144781144705</c:v>
                </c:pt>
                <c:pt idx="216">
                  <c:v>0.45454545454545381</c:v>
                </c:pt>
                <c:pt idx="217">
                  <c:v>0.46127946127946057</c:v>
                </c:pt>
                <c:pt idx="218">
                  <c:v>0.46801346801346733</c:v>
                </c:pt>
                <c:pt idx="219">
                  <c:v>0.47474747474747409</c:v>
                </c:pt>
                <c:pt idx="220">
                  <c:v>0.48148148148148084</c:v>
                </c:pt>
                <c:pt idx="221">
                  <c:v>0.4882154882154876</c:v>
                </c:pt>
                <c:pt idx="222">
                  <c:v>0.49494949494949436</c:v>
                </c:pt>
                <c:pt idx="223">
                  <c:v>0.50168350168350107</c:v>
                </c:pt>
                <c:pt idx="224">
                  <c:v>0.50841750841750777</c:v>
                </c:pt>
                <c:pt idx="225">
                  <c:v>0.51515151515151447</c:v>
                </c:pt>
                <c:pt idx="226">
                  <c:v>0.52188552188552118</c:v>
                </c:pt>
                <c:pt idx="227">
                  <c:v>0.52861952861952788</c:v>
                </c:pt>
                <c:pt idx="228">
                  <c:v>0.53535353535353458</c:v>
                </c:pt>
                <c:pt idx="229">
                  <c:v>0.54208754208754129</c:v>
                </c:pt>
                <c:pt idx="230">
                  <c:v>0.54882154882154799</c:v>
                </c:pt>
                <c:pt idx="231">
                  <c:v>0.55555555555555469</c:v>
                </c:pt>
                <c:pt idx="232">
                  <c:v>0.5622895622895614</c:v>
                </c:pt>
                <c:pt idx="233">
                  <c:v>0.5690235690235681</c:v>
                </c:pt>
                <c:pt idx="234">
                  <c:v>0.5757575757575748</c:v>
                </c:pt>
                <c:pt idx="235">
                  <c:v>0.58249158249158151</c:v>
                </c:pt>
                <c:pt idx="236">
                  <c:v>0.58922558922558821</c:v>
                </c:pt>
                <c:pt idx="237">
                  <c:v>0.59595959595959491</c:v>
                </c:pt>
                <c:pt idx="238">
                  <c:v>0.60269360269360162</c:v>
                </c:pt>
                <c:pt idx="239">
                  <c:v>0.60942760942760832</c:v>
                </c:pt>
                <c:pt idx="240">
                  <c:v>0.61616161616161502</c:v>
                </c:pt>
                <c:pt idx="241">
                  <c:v>0.62289562289562173</c:v>
                </c:pt>
                <c:pt idx="242">
                  <c:v>0.62962962962962843</c:v>
                </c:pt>
                <c:pt idx="243">
                  <c:v>0.63636363636363513</c:v>
                </c:pt>
                <c:pt idx="244">
                  <c:v>0.64309764309764184</c:v>
                </c:pt>
                <c:pt idx="245">
                  <c:v>0.64983164983164854</c:v>
                </c:pt>
                <c:pt idx="246">
                  <c:v>0.65656565656565524</c:v>
                </c:pt>
                <c:pt idx="247">
                  <c:v>0.66329966329966195</c:v>
                </c:pt>
                <c:pt idx="248">
                  <c:v>0.67003367003366865</c:v>
                </c:pt>
                <c:pt idx="249">
                  <c:v>0.67676767676767535</c:v>
                </c:pt>
                <c:pt idx="250">
                  <c:v>0.68350168350168206</c:v>
                </c:pt>
                <c:pt idx="251">
                  <c:v>0.69023569023568876</c:v>
                </c:pt>
                <c:pt idx="252">
                  <c:v>0.69696969696969546</c:v>
                </c:pt>
                <c:pt idx="253">
                  <c:v>0.70370370370370217</c:v>
                </c:pt>
                <c:pt idx="254">
                  <c:v>0.71043771043770887</c:v>
                </c:pt>
                <c:pt idx="255">
                  <c:v>0.71717171717171557</c:v>
                </c:pt>
                <c:pt idx="256">
                  <c:v>0.72390572390572228</c:v>
                </c:pt>
                <c:pt idx="257">
                  <c:v>0.73063973063972898</c:v>
                </c:pt>
                <c:pt idx="258">
                  <c:v>0.73737373737373568</c:v>
                </c:pt>
                <c:pt idx="259">
                  <c:v>0.74410774410774239</c:v>
                </c:pt>
                <c:pt idx="260">
                  <c:v>0.75084175084174909</c:v>
                </c:pt>
                <c:pt idx="261">
                  <c:v>0.75757575757575579</c:v>
                </c:pt>
                <c:pt idx="262">
                  <c:v>0.7643097643097625</c:v>
                </c:pt>
                <c:pt idx="263">
                  <c:v>0.7710437710437692</c:v>
                </c:pt>
                <c:pt idx="264">
                  <c:v>0.7777777777777759</c:v>
                </c:pt>
                <c:pt idx="265">
                  <c:v>0.78451178451178261</c:v>
                </c:pt>
                <c:pt idx="266">
                  <c:v>0.79124579124578931</c:v>
                </c:pt>
                <c:pt idx="267">
                  <c:v>0.79797979797979601</c:v>
                </c:pt>
                <c:pt idx="268">
                  <c:v>0.80471380471380272</c:v>
                </c:pt>
                <c:pt idx="269">
                  <c:v>0.81144781144780942</c:v>
                </c:pt>
                <c:pt idx="270">
                  <c:v>0.81818181818181612</c:v>
                </c:pt>
                <c:pt idx="271">
                  <c:v>0.82491582491582283</c:v>
                </c:pt>
                <c:pt idx="272">
                  <c:v>0.83164983164982953</c:v>
                </c:pt>
                <c:pt idx="273">
                  <c:v>0.83838383838383623</c:v>
                </c:pt>
                <c:pt idx="274">
                  <c:v>0.84511784511784294</c:v>
                </c:pt>
                <c:pt idx="275">
                  <c:v>0.85185185185184964</c:v>
                </c:pt>
                <c:pt idx="276">
                  <c:v>0.85858585858585634</c:v>
                </c:pt>
                <c:pt idx="277">
                  <c:v>0.86531986531986305</c:v>
                </c:pt>
                <c:pt idx="278">
                  <c:v>0.87205387205386975</c:v>
                </c:pt>
                <c:pt idx="279">
                  <c:v>0.87878787878787645</c:v>
                </c:pt>
                <c:pt idx="280">
                  <c:v>0.88552188552188316</c:v>
                </c:pt>
                <c:pt idx="281">
                  <c:v>0.89225589225588986</c:v>
                </c:pt>
                <c:pt idx="282">
                  <c:v>0.89898989898989656</c:v>
                </c:pt>
                <c:pt idx="283">
                  <c:v>0.90572390572390327</c:v>
                </c:pt>
                <c:pt idx="284">
                  <c:v>0.91245791245790997</c:v>
                </c:pt>
                <c:pt idx="285">
                  <c:v>0.91919191919191667</c:v>
                </c:pt>
                <c:pt idx="286">
                  <c:v>0.92592592592592338</c:v>
                </c:pt>
                <c:pt idx="287">
                  <c:v>0.93265993265993008</c:v>
                </c:pt>
                <c:pt idx="288">
                  <c:v>0.93939393939393678</c:v>
                </c:pt>
                <c:pt idx="289">
                  <c:v>0.94612794612794349</c:v>
                </c:pt>
                <c:pt idx="290">
                  <c:v>0.95286195286195019</c:v>
                </c:pt>
                <c:pt idx="291">
                  <c:v>0.95959595959595689</c:v>
                </c:pt>
                <c:pt idx="292">
                  <c:v>0.9663299663299636</c:v>
                </c:pt>
                <c:pt idx="293">
                  <c:v>0.9730639730639703</c:v>
                </c:pt>
                <c:pt idx="294">
                  <c:v>0.979797979797977</c:v>
                </c:pt>
                <c:pt idx="295">
                  <c:v>0.98653198653198371</c:v>
                </c:pt>
                <c:pt idx="296">
                  <c:v>0.99326599326599041</c:v>
                </c:pt>
                <c:pt idx="297" formatCode="General">
                  <c:v>1</c:v>
                </c:pt>
              </c:numCache>
            </c:numRef>
          </c:cat>
          <c:val>
            <c:numRef>
              <c:f>'Entrada D'!$F$9:$F$306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1.6835016835009636E-2</c:v>
                </c:pt>
                <c:pt idx="150">
                  <c:v>5.0505050505043302E-2</c:v>
                </c:pt>
                <c:pt idx="151">
                  <c:v>8.4175084175076964E-2</c:v>
                </c:pt>
                <c:pt idx="152">
                  <c:v>0.11784511784511065</c:v>
                </c:pt>
                <c:pt idx="153">
                  <c:v>0.1515151515151443</c:v>
                </c:pt>
                <c:pt idx="154">
                  <c:v>0.18518518518517799</c:v>
                </c:pt>
                <c:pt idx="155">
                  <c:v>0.21885521885521164</c:v>
                </c:pt>
                <c:pt idx="156">
                  <c:v>0.25252525252524527</c:v>
                </c:pt>
                <c:pt idx="157">
                  <c:v>0.28619528619527895</c:v>
                </c:pt>
                <c:pt idx="158">
                  <c:v>0.31986531986531264</c:v>
                </c:pt>
                <c:pt idx="159">
                  <c:v>0.35353535353534626</c:v>
                </c:pt>
                <c:pt idx="160">
                  <c:v>0.38720538720537995</c:v>
                </c:pt>
                <c:pt idx="161">
                  <c:v>0.42087542087541358</c:v>
                </c:pt>
                <c:pt idx="162">
                  <c:v>0.45454545454544726</c:v>
                </c:pt>
                <c:pt idx="163">
                  <c:v>0.48821548821548089</c:v>
                </c:pt>
                <c:pt idx="164">
                  <c:v>0.52188552188551451</c:v>
                </c:pt>
                <c:pt idx="165">
                  <c:v>0.55555555555554825</c:v>
                </c:pt>
                <c:pt idx="166">
                  <c:v>0.58922558922558188</c:v>
                </c:pt>
                <c:pt idx="167">
                  <c:v>0.62289562289561551</c:v>
                </c:pt>
                <c:pt idx="168">
                  <c:v>0.65656565656564925</c:v>
                </c:pt>
                <c:pt idx="169">
                  <c:v>0.69023569023568287</c:v>
                </c:pt>
                <c:pt idx="170">
                  <c:v>0.7239057239057165</c:v>
                </c:pt>
                <c:pt idx="171">
                  <c:v>0.75757575757575024</c:v>
                </c:pt>
                <c:pt idx="172">
                  <c:v>0.79124579124578387</c:v>
                </c:pt>
                <c:pt idx="173">
                  <c:v>0.8249158249158175</c:v>
                </c:pt>
                <c:pt idx="174">
                  <c:v>0.85858585858585112</c:v>
                </c:pt>
                <c:pt idx="175">
                  <c:v>0.89225589225588486</c:v>
                </c:pt>
                <c:pt idx="176">
                  <c:v>0.92592592592591849</c:v>
                </c:pt>
                <c:pt idx="177">
                  <c:v>0.95959595959595212</c:v>
                </c:pt>
                <c:pt idx="178">
                  <c:v>0.99326599326598575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CC-474B-85B1-840BDB4C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360152"/>
        <c:axId val="268361328"/>
      </c:lineChart>
      <c:catAx>
        <c:axId val="2683601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61328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26836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836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Velocidad del Motor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2817147856517939E-2"/>
          <c:y val="0.154"/>
          <c:w val="0.75319178852643409"/>
          <c:h val="0.70289658792650911"/>
        </c:manualLayout>
      </c:layout>
      <c:lineChart>
        <c:grouping val="standard"/>
        <c:varyColors val="0"/>
        <c:ser>
          <c:idx val="0"/>
          <c:order val="0"/>
          <c:tx>
            <c:strRef>
              <c:f>'Salida M'!$D$7</c:f>
              <c:strCache>
                <c:ptCount val="1"/>
                <c:pt idx="0">
                  <c:v> -90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M'!$D$9:$D$306</c:f>
              <c:numCache>
                <c:formatCode>General</c:formatCode>
                <c:ptCount val="29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0.98989898989898251</c:v>
                </c:pt>
                <c:pt idx="16">
                  <c:v>0.9225589225589147</c:v>
                </c:pt>
                <c:pt idx="17">
                  <c:v>0.85521885521884689</c:v>
                </c:pt>
                <c:pt idx="18">
                  <c:v>0.78787878787877896</c:v>
                </c:pt>
                <c:pt idx="19">
                  <c:v>0.72053872053871115</c:v>
                </c:pt>
                <c:pt idx="20">
                  <c:v>0.65319865319864334</c:v>
                </c:pt>
                <c:pt idx="21">
                  <c:v>0.58585858585857553</c:v>
                </c:pt>
                <c:pt idx="22">
                  <c:v>0.51851851851850772</c:v>
                </c:pt>
                <c:pt idx="23">
                  <c:v>0.45117845117843985</c:v>
                </c:pt>
                <c:pt idx="24">
                  <c:v>0.38383838383837199</c:v>
                </c:pt>
                <c:pt idx="25">
                  <c:v>0.31649831649830418</c:v>
                </c:pt>
                <c:pt idx="26">
                  <c:v>0.24915824915823634</c:v>
                </c:pt>
                <c:pt idx="27">
                  <c:v>0.1818181818181685</c:v>
                </c:pt>
                <c:pt idx="28">
                  <c:v>0.11447811447810068</c:v>
                </c:pt>
                <c:pt idx="29">
                  <c:v>4.7138047138032844E-2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E3-4180-B60E-30715F35B39D}"/>
            </c:ext>
          </c:extLst>
        </c:ser>
        <c:ser>
          <c:idx val="1"/>
          <c:order val="1"/>
          <c:tx>
            <c:strRef>
              <c:f>'Salida M'!$E$7</c:f>
              <c:strCache>
                <c:ptCount val="1"/>
                <c:pt idx="0">
                  <c:v> -80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M'!$E$9:$E$306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1.0101010101017494E-2</c:v>
                </c:pt>
                <c:pt idx="16">
                  <c:v>7.7441077441085332E-2</c:v>
                </c:pt>
                <c:pt idx="17">
                  <c:v>0.14478114478115317</c:v>
                </c:pt>
                <c:pt idx="18">
                  <c:v>0.21212121212122098</c:v>
                </c:pt>
                <c:pt idx="19">
                  <c:v>0.27946127946128885</c:v>
                </c:pt>
                <c:pt idx="20">
                  <c:v>0.34680134680135666</c:v>
                </c:pt>
                <c:pt idx="21">
                  <c:v>0.41414141414142447</c:v>
                </c:pt>
                <c:pt idx="22">
                  <c:v>0.48148148148149233</c:v>
                </c:pt>
                <c:pt idx="23">
                  <c:v>0.5488215488215602</c:v>
                </c:pt>
                <c:pt idx="24">
                  <c:v>0.61616161616162801</c:v>
                </c:pt>
                <c:pt idx="25">
                  <c:v>0.68350168350169582</c:v>
                </c:pt>
                <c:pt idx="26">
                  <c:v>0.75084175084176363</c:v>
                </c:pt>
                <c:pt idx="27">
                  <c:v>0.81818181818183144</c:v>
                </c:pt>
                <c:pt idx="28">
                  <c:v>0.88552188552189937</c:v>
                </c:pt>
                <c:pt idx="29">
                  <c:v>0.95286195286196718</c:v>
                </c:pt>
                <c:pt idx="30">
                  <c:v>0.99494949494949125</c:v>
                </c:pt>
                <c:pt idx="31">
                  <c:v>0.97811447811447427</c:v>
                </c:pt>
                <c:pt idx="32">
                  <c:v>0.96127946127945729</c:v>
                </c:pt>
                <c:pt idx="33">
                  <c:v>0.94444444444444042</c:v>
                </c:pt>
                <c:pt idx="34">
                  <c:v>0.92760942760942344</c:v>
                </c:pt>
                <c:pt idx="35">
                  <c:v>0.91077441077440646</c:v>
                </c:pt>
                <c:pt idx="36">
                  <c:v>0.89393939393938948</c:v>
                </c:pt>
                <c:pt idx="37">
                  <c:v>0.8771043771043725</c:v>
                </c:pt>
                <c:pt idx="38">
                  <c:v>0.86026936026935563</c:v>
                </c:pt>
                <c:pt idx="39">
                  <c:v>0.84343434343433865</c:v>
                </c:pt>
                <c:pt idx="40">
                  <c:v>0.82659932659932167</c:v>
                </c:pt>
                <c:pt idx="41">
                  <c:v>0.80976430976430469</c:v>
                </c:pt>
                <c:pt idx="42">
                  <c:v>0.79292929292928771</c:v>
                </c:pt>
                <c:pt idx="43">
                  <c:v>0.77609427609427084</c:v>
                </c:pt>
                <c:pt idx="44">
                  <c:v>0.75925925925925386</c:v>
                </c:pt>
                <c:pt idx="45">
                  <c:v>0.74242424242423688</c:v>
                </c:pt>
                <c:pt idx="46">
                  <c:v>0.7255892255892199</c:v>
                </c:pt>
                <c:pt idx="47">
                  <c:v>0.70875420875420292</c:v>
                </c:pt>
                <c:pt idx="48">
                  <c:v>0.69191919191918605</c:v>
                </c:pt>
                <c:pt idx="49">
                  <c:v>0.67508417508416907</c:v>
                </c:pt>
                <c:pt idx="50">
                  <c:v>0.65824915824915209</c:v>
                </c:pt>
                <c:pt idx="51">
                  <c:v>0.64141414141413511</c:v>
                </c:pt>
                <c:pt idx="52">
                  <c:v>0.62457912457911813</c:v>
                </c:pt>
                <c:pt idx="53">
                  <c:v>0.60774410774410126</c:v>
                </c:pt>
                <c:pt idx="54">
                  <c:v>0.59090909090908439</c:v>
                </c:pt>
                <c:pt idx="55">
                  <c:v>0.57407407407406763</c:v>
                </c:pt>
                <c:pt idx="56">
                  <c:v>0.55723905723905087</c:v>
                </c:pt>
                <c:pt idx="57">
                  <c:v>0.54040404040403411</c:v>
                </c:pt>
                <c:pt idx="58">
                  <c:v>0.52356902356901736</c:v>
                </c:pt>
                <c:pt idx="59">
                  <c:v>0.50673400673400049</c:v>
                </c:pt>
                <c:pt idx="60">
                  <c:v>0.48989898989898373</c:v>
                </c:pt>
                <c:pt idx="61">
                  <c:v>0.47306397306396697</c:v>
                </c:pt>
                <c:pt idx="62">
                  <c:v>0.45622895622895021</c:v>
                </c:pt>
                <c:pt idx="63">
                  <c:v>0.4393939393939334</c:v>
                </c:pt>
                <c:pt idx="64">
                  <c:v>0.42255892255891664</c:v>
                </c:pt>
                <c:pt idx="65">
                  <c:v>0.40572390572389982</c:v>
                </c:pt>
                <c:pt idx="66">
                  <c:v>0.38888888888888307</c:v>
                </c:pt>
                <c:pt idx="67">
                  <c:v>0.37205387205386631</c:v>
                </c:pt>
                <c:pt idx="68">
                  <c:v>0.35521885521884949</c:v>
                </c:pt>
                <c:pt idx="69">
                  <c:v>0.33838383838383274</c:v>
                </c:pt>
                <c:pt idx="70">
                  <c:v>0.32154882154881592</c:v>
                </c:pt>
                <c:pt idx="71">
                  <c:v>0.30471380471379916</c:v>
                </c:pt>
                <c:pt idx="72">
                  <c:v>0.28787878787878241</c:v>
                </c:pt>
                <c:pt idx="73">
                  <c:v>0.27104377104376559</c:v>
                </c:pt>
                <c:pt idx="74">
                  <c:v>0.25420875420874883</c:v>
                </c:pt>
                <c:pt idx="75">
                  <c:v>0.23737373737373205</c:v>
                </c:pt>
                <c:pt idx="76">
                  <c:v>0.22053872053871526</c:v>
                </c:pt>
                <c:pt idx="77">
                  <c:v>0.20370370370369847</c:v>
                </c:pt>
                <c:pt idx="78">
                  <c:v>0.18686868686868169</c:v>
                </c:pt>
                <c:pt idx="79">
                  <c:v>0.17003367003366493</c:v>
                </c:pt>
                <c:pt idx="80">
                  <c:v>0.15319865319864814</c:v>
                </c:pt>
                <c:pt idx="81">
                  <c:v>0.13636363636363136</c:v>
                </c:pt>
                <c:pt idx="82">
                  <c:v>0.11952861952861457</c:v>
                </c:pt>
                <c:pt idx="83">
                  <c:v>0.1026936026935978</c:v>
                </c:pt>
                <c:pt idx="84">
                  <c:v>8.5858585858581013E-2</c:v>
                </c:pt>
                <c:pt idx="85">
                  <c:v>6.9023569023564241E-2</c:v>
                </c:pt>
                <c:pt idx="86">
                  <c:v>5.2188552188547455E-2</c:v>
                </c:pt>
                <c:pt idx="87">
                  <c:v>3.5353535353530675E-2</c:v>
                </c:pt>
                <c:pt idx="88">
                  <c:v>1.8518518518513893E-2</c:v>
                </c:pt>
                <c:pt idx="89">
                  <c:v>1.6835016834971129E-3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E3-4180-B60E-30715F35B39D}"/>
            </c:ext>
          </c:extLst>
        </c:ser>
        <c:ser>
          <c:idx val="2"/>
          <c:order val="2"/>
          <c:tx>
            <c:strRef>
              <c:f>'Salida M'!$F$7</c:f>
              <c:strCache>
                <c:ptCount val="1"/>
                <c:pt idx="0">
                  <c:v> -40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M'!$F$9:$F$306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5.0505050505087468E-3</c:v>
                </c:pt>
                <c:pt idx="31">
                  <c:v>2.1885521885525706E-2</c:v>
                </c:pt>
                <c:pt idx="32">
                  <c:v>3.8720538720542666E-2</c:v>
                </c:pt>
                <c:pt idx="33">
                  <c:v>5.5555555555559619E-2</c:v>
                </c:pt>
                <c:pt idx="34">
                  <c:v>7.2390572390576585E-2</c:v>
                </c:pt>
                <c:pt idx="35">
                  <c:v>8.9225589225593538E-2</c:v>
                </c:pt>
                <c:pt idx="36">
                  <c:v>0.10606060606061049</c:v>
                </c:pt>
                <c:pt idx="37">
                  <c:v>0.12289562289562746</c:v>
                </c:pt>
                <c:pt idx="38">
                  <c:v>0.13973063973064442</c:v>
                </c:pt>
                <c:pt idx="39">
                  <c:v>0.15656565656566138</c:v>
                </c:pt>
                <c:pt idx="40">
                  <c:v>0.17340067340067833</c:v>
                </c:pt>
                <c:pt idx="41">
                  <c:v>0.19023569023569528</c:v>
                </c:pt>
                <c:pt idx="42">
                  <c:v>0.20707070707071223</c:v>
                </c:pt>
                <c:pt idx="43">
                  <c:v>0.22390572390572921</c:v>
                </c:pt>
                <c:pt idx="44">
                  <c:v>0.24074074074074617</c:v>
                </c:pt>
                <c:pt idx="45">
                  <c:v>0.25757575757576312</c:v>
                </c:pt>
                <c:pt idx="46">
                  <c:v>0.2744107744107801</c:v>
                </c:pt>
                <c:pt idx="47">
                  <c:v>0.29124579124579703</c:v>
                </c:pt>
                <c:pt idx="48">
                  <c:v>0.30808080808081401</c:v>
                </c:pt>
                <c:pt idx="49">
                  <c:v>0.32491582491583093</c:v>
                </c:pt>
                <c:pt idx="50">
                  <c:v>0.34175084175084791</c:v>
                </c:pt>
                <c:pt idx="51">
                  <c:v>0.35858585858586489</c:v>
                </c:pt>
                <c:pt idx="52">
                  <c:v>0.37542087542088182</c:v>
                </c:pt>
                <c:pt idx="53">
                  <c:v>0.3922558922558988</c:v>
                </c:pt>
                <c:pt idx="54">
                  <c:v>0.40909090909091556</c:v>
                </c:pt>
                <c:pt idx="55">
                  <c:v>0.42592592592593237</c:v>
                </c:pt>
                <c:pt idx="56">
                  <c:v>0.44276094276094913</c:v>
                </c:pt>
                <c:pt idx="57">
                  <c:v>0.45959595959596589</c:v>
                </c:pt>
                <c:pt idx="58">
                  <c:v>0.4764309764309827</c:v>
                </c:pt>
                <c:pt idx="59">
                  <c:v>0.49326599326599946</c:v>
                </c:pt>
                <c:pt idx="60">
                  <c:v>0.51010101010101627</c:v>
                </c:pt>
                <c:pt idx="61">
                  <c:v>0.52693602693603303</c:v>
                </c:pt>
                <c:pt idx="62">
                  <c:v>0.54377104377104979</c:v>
                </c:pt>
                <c:pt idx="63">
                  <c:v>0.56060606060606655</c:v>
                </c:pt>
                <c:pt idx="64">
                  <c:v>0.57744107744108342</c:v>
                </c:pt>
                <c:pt idx="65">
                  <c:v>0.59427609427610018</c:v>
                </c:pt>
                <c:pt idx="66">
                  <c:v>0.61111111111111693</c:v>
                </c:pt>
                <c:pt idx="67">
                  <c:v>0.62794612794613369</c:v>
                </c:pt>
                <c:pt idx="68">
                  <c:v>0.64478114478115045</c:v>
                </c:pt>
                <c:pt idx="69">
                  <c:v>0.66161616161616732</c:v>
                </c:pt>
                <c:pt idx="70">
                  <c:v>0.67845117845118408</c:v>
                </c:pt>
                <c:pt idx="71">
                  <c:v>0.69528619528620084</c:v>
                </c:pt>
                <c:pt idx="72">
                  <c:v>0.71212121212121759</c:v>
                </c:pt>
                <c:pt idx="73">
                  <c:v>0.72895622895623435</c:v>
                </c:pt>
                <c:pt idx="74">
                  <c:v>0.74579124579125122</c:v>
                </c:pt>
                <c:pt idx="75">
                  <c:v>0.76262626262626798</c:v>
                </c:pt>
                <c:pt idx="76">
                  <c:v>0.77946127946128474</c:v>
                </c:pt>
                <c:pt idx="77">
                  <c:v>0.7962962962963015</c:v>
                </c:pt>
                <c:pt idx="78">
                  <c:v>0.81313131313131826</c:v>
                </c:pt>
                <c:pt idx="79">
                  <c:v>0.82996632996633513</c:v>
                </c:pt>
                <c:pt idx="80">
                  <c:v>0.84680134680135188</c:v>
                </c:pt>
                <c:pt idx="81">
                  <c:v>0.86363636363636864</c:v>
                </c:pt>
                <c:pt idx="82">
                  <c:v>0.8804713804713854</c:v>
                </c:pt>
                <c:pt idx="83">
                  <c:v>0.89730639730640216</c:v>
                </c:pt>
                <c:pt idx="84">
                  <c:v>0.91414141414141903</c:v>
                </c:pt>
                <c:pt idx="85">
                  <c:v>0.93097643097643579</c:v>
                </c:pt>
                <c:pt idx="86">
                  <c:v>0.94781144781145255</c:v>
                </c:pt>
                <c:pt idx="87">
                  <c:v>0.9646464646464693</c:v>
                </c:pt>
                <c:pt idx="88">
                  <c:v>0.98148148148148606</c:v>
                </c:pt>
                <c:pt idx="89">
                  <c:v>0.99831649831650293</c:v>
                </c:pt>
                <c:pt idx="90">
                  <c:v>0.93939393939392135</c:v>
                </c:pt>
                <c:pt idx="91">
                  <c:v>0.87205387205385421</c:v>
                </c:pt>
                <c:pt idx="92">
                  <c:v>0.80471380471378706</c:v>
                </c:pt>
                <c:pt idx="93">
                  <c:v>0.73737373737371992</c:v>
                </c:pt>
                <c:pt idx="94">
                  <c:v>0.67003367003365288</c:v>
                </c:pt>
                <c:pt idx="95">
                  <c:v>0.60269360269358574</c:v>
                </c:pt>
                <c:pt idx="96">
                  <c:v>0.53535353535351859</c:v>
                </c:pt>
                <c:pt idx="97">
                  <c:v>0.46801346801345145</c:v>
                </c:pt>
                <c:pt idx="98">
                  <c:v>0.40067340067338436</c:v>
                </c:pt>
                <c:pt idx="99">
                  <c:v>0.33333333333331722</c:v>
                </c:pt>
                <c:pt idx="100">
                  <c:v>0.26599326599325013</c:v>
                </c:pt>
                <c:pt idx="101">
                  <c:v>0.19865319865318262</c:v>
                </c:pt>
                <c:pt idx="102">
                  <c:v>0.13131313131311514</c:v>
                </c:pt>
                <c:pt idx="103">
                  <c:v>6.3973063973047667E-2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E3-4180-B60E-30715F35B39D}"/>
            </c:ext>
          </c:extLst>
        </c:ser>
        <c:ser>
          <c:idx val="3"/>
          <c:order val="3"/>
          <c:tx>
            <c:strRef>
              <c:f>'Salida M'!$G$7</c:f>
              <c:strCache>
                <c:ptCount val="1"/>
                <c:pt idx="0">
                  <c:v> -30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M'!$G$9:$G$306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6.060606060607867E-2</c:v>
                </c:pt>
                <c:pt idx="91">
                  <c:v>0.12794612794614579</c:v>
                </c:pt>
                <c:pt idx="92">
                  <c:v>0.19528619528621291</c:v>
                </c:pt>
                <c:pt idx="93">
                  <c:v>0.26262626262628003</c:v>
                </c:pt>
                <c:pt idx="94">
                  <c:v>0.32996632996634717</c:v>
                </c:pt>
                <c:pt idx="95">
                  <c:v>0.39730639730641426</c:v>
                </c:pt>
                <c:pt idx="96">
                  <c:v>0.46464646464648141</c:v>
                </c:pt>
                <c:pt idx="97">
                  <c:v>0.53198653198654855</c:v>
                </c:pt>
                <c:pt idx="98">
                  <c:v>0.59932659932661569</c:v>
                </c:pt>
                <c:pt idx="99">
                  <c:v>0.66666666666668273</c:v>
                </c:pt>
                <c:pt idx="100">
                  <c:v>0.73400673400674987</c:v>
                </c:pt>
                <c:pt idx="101">
                  <c:v>0.80134680134681735</c:v>
                </c:pt>
                <c:pt idx="102">
                  <c:v>0.86868686868688483</c:v>
                </c:pt>
                <c:pt idx="103">
                  <c:v>0.93602693602695231</c:v>
                </c:pt>
                <c:pt idx="104">
                  <c:v>0.99831649831649005</c:v>
                </c:pt>
                <c:pt idx="105">
                  <c:v>0.96464646464645631</c:v>
                </c:pt>
                <c:pt idx="106">
                  <c:v>0.93097643097642258</c:v>
                </c:pt>
                <c:pt idx="107">
                  <c:v>0.89730639730638884</c:v>
                </c:pt>
                <c:pt idx="108">
                  <c:v>0.8636363636363551</c:v>
                </c:pt>
                <c:pt idx="109">
                  <c:v>0.82996632996632136</c:v>
                </c:pt>
                <c:pt idx="110">
                  <c:v>0.79629629629628762</c:v>
                </c:pt>
                <c:pt idx="111">
                  <c:v>0.76262626262625388</c:v>
                </c:pt>
                <c:pt idx="112">
                  <c:v>0.72895622895622014</c:v>
                </c:pt>
                <c:pt idx="113">
                  <c:v>0.6952861952861864</c:v>
                </c:pt>
                <c:pt idx="114">
                  <c:v>0.66161616161615266</c:v>
                </c:pt>
                <c:pt idx="115">
                  <c:v>0.62794612794611893</c:v>
                </c:pt>
                <c:pt idx="116">
                  <c:v>0.59427609427608519</c:v>
                </c:pt>
                <c:pt idx="117">
                  <c:v>0.56060606060605145</c:v>
                </c:pt>
                <c:pt idx="118">
                  <c:v>0.52693602693601771</c:v>
                </c:pt>
                <c:pt idx="119">
                  <c:v>0.49326599326598403</c:v>
                </c:pt>
                <c:pt idx="120">
                  <c:v>0.45959595959595029</c:v>
                </c:pt>
                <c:pt idx="121">
                  <c:v>0.42592592592591655</c:v>
                </c:pt>
                <c:pt idx="122">
                  <c:v>0.39225589225588281</c:v>
                </c:pt>
                <c:pt idx="123">
                  <c:v>0.35858585858584907</c:v>
                </c:pt>
                <c:pt idx="124">
                  <c:v>0.32491582491581533</c:v>
                </c:pt>
                <c:pt idx="125">
                  <c:v>0.29124579124578165</c:v>
                </c:pt>
                <c:pt idx="126">
                  <c:v>0.25757575757574802</c:v>
                </c:pt>
                <c:pt idx="127">
                  <c:v>0.22390572390571437</c:v>
                </c:pt>
                <c:pt idx="128">
                  <c:v>0.19023569023568071</c:v>
                </c:pt>
                <c:pt idx="129">
                  <c:v>0.15656565656564708</c:v>
                </c:pt>
                <c:pt idx="130">
                  <c:v>0.12289562289561343</c:v>
                </c:pt>
                <c:pt idx="131">
                  <c:v>8.9225589225579771E-2</c:v>
                </c:pt>
                <c:pt idx="132">
                  <c:v>5.5555555555546123E-2</c:v>
                </c:pt>
                <c:pt idx="133">
                  <c:v>2.188552188551247E-2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E3-4180-B60E-30715F35B39D}"/>
            </c:ext>
          </c:extLst>
        </c:ser>
        <c:ser>
          <c:idx val="4"/>
          <c:order val="4"/>
          <c:tx>
            <c:strRef>
              <c:f>'Salida M'!$H$7</c:f>
              <c:strCache>
                <c:ptCount val="1"/>
                <c:pt idx="0">
                  <c:v> -10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M'!$H$9:$H$306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1.6835016835099025E-3</c:v>
                </c:pt>
                <c:pt idx="105">
                  <c:v>3.5353535353543644E-2</c:v>
                </c:pt>
                <c:pt idx="106">
                  <c:v>6.9023569023577383E-2</c:v>
                </c:pt>
                <c:pt idx="107">
                  <c:v>0.10269360269361112</c:v>
                </c:pt>
                <c:pt idx="108">
                  <c:v>0.13636363636364485</c:v>
                </c:pt>
                <c:pt idx="109">
                  <c:v>0.17003367003367859</c:v>
                </c:pt>
                <c:pt idx="110">
                  <c:v>0.20370370370371232</c:v>
                </c:pt>
                <c:pt idx="111">
                  <c:v>0.23737373737374606</c:v>
                </c:pt>
                <c:pt idx="112">
                  <c:v>0.2710437710437798</c:v>
                </c:pt>
                <c:pt idx="113">
                  <c:v>0.30471380471381354</c:v>
                </c:pt>
                <c:pt idx="114">
                  <c:v>0.33838383838384728</c:v>
                </c:pt>
                <c:pt idx="115">
                  <c:v>0.37205387205388102</c:v>
                </c:pt>
                <c:pt idx="116">
                  <c:v>0.40572390572391476</c:v>
                </c:pt>
                <c:pt idx="117">
                  <c:v>0.4393939393939485</c:v>
                </c:pt>
                <c:pt idx="118">
                  <c:v>0.47306397306398223</c:v>
                </c:pt>
                <c:pt idx="119">
                  <c:v>0.50673400673401603</c:v>
                </c:pt>
                <c:pt idx="120">
                  <c:v>0.54040404040404977</c:v>
                </c:pt>
                <c:pt idx="121">
                  <c:v>0.57407407407408351</c:v>
                </c:pt>
                <c:pt idx="122">
                  <c:v>0.60774410774411725</c:v>
                </c:pt>
                <c:pt idx="123">
                  <c:v>0.64141414141415098</c:v>
                </c:pt>
                <c:pt idx="124">
                  <c:v>0.67508417508418472</c:v>
                </c:pt>
                <c:pt idx="125">
                  <c:v>0.70875420875421835</c:v>
                </c:pt>
                <c:pt idx="126">
                  <c:v>0.74242424242425198</c:v>
                </c:pt>
                <c:pt idx="127">
                  <c:v>0.77609427609428561</c:v>
                </c:pt>
                <c:pt idx="128">
                  <c:v>0.80976430976431923</c:v>
                </c:pt>
                <c:pt idx="129">
                  <c:v>0.84343434343435286</c:v>
                </c:pt>
                <c:pt idx="130">
                  <c:v>0.8771043771043866</c:v>
                </c:pt>
                <c:pt idx="131">
                  <c:v>0.91077441077442034</c:v>
                </c:pt>
                <c:pt idx="132">
                  <c:v>0.94444444444445386</c:v>
                </c:pt>
                <c:pt idx="133">
                  <c:v>0.97811447811448748</c:v>
                </c:pt>
                <c:pt idx="134">
                  <c:v>0.98821548821547878</c:v>
                </c:pt>
                <c:pt idx="135">
                  <c:v>0.95454545454544504</c:v>
                </c:pt>
                <c:pt idx="136">
                  <c:v>0.92087542087541152</c:v>
                </c:pt>
                <c:pt idx="137">
                  <c:v>0.887205387205378</c:v>
                </c:pt>
                <c:pt idx="138">
                  <c:v>0.85353535353534427</c:v>
                </c:pt>
                <c:pt idx="139">
                  <c:v>0.81986531986531053</c:v>
                </c:pt>
                <c:pt idx="140">
                  <c:v>0.7861952861952769</c:v>
                </c:pt>
                <c:pt idx="141">
                  <c:v>0.75252525252524327</c:v>
                </c:pt>
                <c:pt idx="142">
                  <c:v>0.71885521885520964</c:v>
                </c:pt>
                <c:pt idx="143">
                  <c:v>0.68518518518517602</c:v>
                </c:pt>
                <c:pt idx="144">
                  <c:v>0.65151515151514228</c:v>
                </c:pt>
                <c:pt idx="145">
                  <c:v>0.61784511784510854</c:v>
                </c:pt>
                <c:pt idx="146">
                  <c:v>0.58417508417507491</c:v>
                </c:pt>
                <c:pt idx="147">
                  <c:v>0.55050505050504128</c:v>
                </c:pt>
                <c:pt idx="148">
                  <c:v>0.51683501683500754</c:v>
                </c:pt>
                <c:pt idx="149">
                  <c:v>0.48316498316497392</c:v>
                </c:pt>
                <c:pt idx="150">
                  <c:v>0.44949494949494023</c:v>
                </c:pt>
                <c:pt idx="151">
                  <c:v>0.4158249158249066</c:v>
                </c:pt>
                <c:pt idx="152">
                  <c:v>0.38215488215487292</c:v>
                </c:pt>
                <c:pt idx="153">
                  <c:v>0.34848484848483918</c:v>
                </c:pt>
                <c:pt idx="154">
                  <c:v>0.31481481481480555</c:v>
                </c:pt>
                <c:pt idx="155">
                  <c:v>0.28114478114477193</c:v>
                </c:pt>
                <c:pt idx="156">
                  <c:v>0.24747474747473824</c:v>
                </c:pt>
                <c:pt idx="157">
                  <c:v>0.21380471380470462</c:v>
                </c:pt>
                <c:pt idx="158">
                  <c:v>0.18013468013467096</c:v>
                </c:pt>
                <c:pt idx="159">
                  <c:v>0.1464646464646373</c:v>
                </c:pt>
                <c:pt idx="160">
                  <c:v>0.11279461279460365</c:v>
                </c:pt>
                <c:pt idx="161">
                  <c:v>7.9124579124570008E-2</c:v>
                </c:pt>
                <c:pt idx="162">
                  <c:v>4.5454545454536352E-2</c:v>
                </c:pt>
                <c:pt idx="163">
                  <c:v>1.1784511784502705E-2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E3-4180-B60E-30715F35B39D}"/>
            </c:ext>
          </c:extLst>
        </c:ser>
        <c:ser>
          <c:idx val="5"/>
          <c:order val="5"/>
          <c:tx>
            <c:strRef>
              <c:f>'Salida M'!$I$7</c:f>
              <c:strCache>
                <c:ptCount val="1"/>
                <c:pt idx="0">
                  <c:v>+10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M'!$I$9:$I$306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1.1784511784521178E-2</c:v>
                </c:pt>
                <c:pt idx="135">
                  <c:v>4.545454545455483E-2</c:v>
                </c:pt>
                <c:pt idx="136">
                  <c:v>7.9124579124588479E-2</c:v>
                </c:pt>
                <c:pt idx="137">
                  <c:v>0.11279461279462213</c:v>
                </c:pt>
                <c:pt idx="138">
                  <c:v>0.14646464646465579</c:v>
                </c:pt>
                <c:pt idx="139">
                  <c:v>0.18013468013468942</c:v>
                </c:pt>
                <c:pt idx="140">
                  <c:v>0.21380471380472307</c:v>
                </c:pt>
                <c:pt idx="141">
                  <c:v>0.24747474747475673</c:v>
                </c:pt>
                <c:pt idx="142">
                  <c:v>0.28114478114479036</c:v>
                </c:pt>
                <c:pt idx="143">
                  <c:v>0.31481481481482404</c:v>
                </c:pt>
                <c:pt idx="144">
                  <c:v>0.34848484848485772</c:v>
                </c:pt>
                <c:pt idx="145">
                  <c:v>0.38215488215489141</c:v>
                </c:pt>
                <c:pt idx="146">
                  <c:v>0.41582491582492509</c:v>
                </c:pt>
                <c:pt idx="147">
                  <c:v>0.44949494949495872</c:v>
                </c:pt>
                <c:pt idx="148">
                  <c:v>0.48316498316499246</c:v>
                </c:pt>
                <c:pt idx="149">
                  <c:v>0.51683501683502608</c:v>
                </c:pt>
                <c:pt idx="150">
                  <c:v>0.55050505050505971</c:v>
                </c:pt>
                <c:pt idx="151">
                  <c:v>0.58417508417509345</c:v>
                </c:pt>
                <c:pt idx="152">
                  <c:v>0.61784511784512708</c:v>
                </c:pt>
                <c:pt idx="153">
                  <c:v>0.65151515151516082</c:v>
                </c:pt>
                <c:pt idx="154">
                  <c:v>0.68518518518519445</c:v>
                </c:pt>
                <c:pt idx="155">
                  <c:v>0.71885521885522807</c:v>
                </c:pt>
                <c:pt idx="156">
                  <c:v>0.7525252525252617</c:v>
                </c:pt>
                <c:pt idx="157">
                  <c:v>0.78619528619529544</c:v>
                </c:pt>
                <c:pt idx="158">
                  <c:v>0.81986531986532896</c:v>
                </c:pt>
                <c:pt idx="159">
                  <c:v>0.8535353535353627</c:v>
                </c:pt>
                <c:pt idx="160">
                  <c:v>0.88720538720539643</c:v>
                </c:pt>
                <c:pt idx="161">
                  <c:v>0.92087542087542995</c:v>
                </c:pt>
                <c:pt idx="162">
                  <c:v>0.95454545454546358</c:v>
                </c:pt>
                <c:pt idx="163">
                  <c:v>0.98821548821549732</c:v>
                </c:pt>
                <c:pt idx="164">
                  <c:v>0.97811447811446894</c:v>
                </c:pt>
                <c:pt idx="165">
                  <c:v>0.94444444444443543</c:v>
                </c:pt>
                <c:pt idx="166">
                  <c:v>0.9107744107744018</c:v>
                </c:pt>
                <c:pt idx="167">
                  <c:v>0.87710437710436806</c:v>
                </c:pt>
                <c:pt idx="168">
                  <c:v>0.84343434343433432</c:v>
                </c:pt>
                <c:pt idx="169">
                  <c:v>0.8097643097643008</c:v>
                </c:pt>
                <c:pt idx="170">
                  <c:v>0.77609427609426718</c:v>
                </c:pt>
                <c:pt idx="171">
                  <c:v>0.74242424242423355</c:v>
                </c:pt>
                <c:pt idx="172">
                  <c:v>0.70875420875419981</c:v>
                </c:pt>
                <c:pt idx="173">
                  <c:v>0.67508417508416618</c:v>
                </c:pt>
                <c:pt idx="174">
                  <c:v>0.64141414141413244</c:v>
                </c:pt>
                <c:pt idx="175">
                  <c:v>0.6077441077440987</c:v>
                </c:pt>
                <c:pt idx="176">
                  <c:v>0.57407407407406497</c:v>
                </c:pt>
                <c:pt idx="177">
                  <c:v>0.54040404040403123</c:v>
                </c:pt>
                <c:pt idx="178">
                  <c:v>0.50673400673399749</c:v>
                </c:pt>
                <c:pt idx="179">
                  <c:v>0.47306397306396375</c:v>
                </c:pt>
                <c:pt idx="180">
                  <c:v>0.43939393939393001</c:v>
                </c:pt>
                <c:pt idx="181">
                  <c:v>0.40572390572389627</c:v>
                </c:pt>
                <c:pt idx="182">
                  <c:v>0.37205387205386253</c:v>
                </c:pt>
                <c:pt idx="183">
                  <c:v>0.33838383838382879</c:v>
                </c:pt>
                <c:pt idx="184">
                  <c:v>0.30471380471379506</c:v>
                </c:pt>
                <c:pt idx="185">
                  <c:v>0.27104377104376132</c:v>
                </c:pt>
                <c:pt idx="186">
                  <c:v>0.23737373737372761</c:v>
                </c:pt>
                <c:pt idx="187">
                  <c:v>0.20370370370369387</c:v>
                </c:pt>
                <c:pt idx="188">
                  <c:v>0.17003367003366013</c:v>
                </c:pt>
                <c:pt idx="189">
                  <c:v>0.13636363636362639</c:v>
                </c:pt>
                <c:pt idx="190">
                  <c:v>0.10269360269359265</c:v>
                </c:pt>
                <c:pt idx="191">
                  <c:v>6.9023569023558912E-2</c:v>
                </c:pt>
                <c:pt idx="192">
                  <c:v>3.5353535353525166E-2</c:v>
                </c:pt>
                <c:pt idx="193">
                  <c:v>1.6835016834914284E-3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E3-4180-B60E-30715F35B39D}"/>
            </c:ext>
          </c:extLst>
        </c:ser>
        <c:ser>
          <c:idx val="6"/>
          <c:order val="6"/>
          <c:tx>
            <c:strRef>
              <c:f>'Salida M'!$J$7</c:f>
              <c:strCache>
                <c:ptCount val="1"/>
                <c:pt idx="0">
                  <c:v>+30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M'!$J$9:$J$306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2.1885521885530945E-2</c:v>
                </c:pt>
                <c:pt idx="165">
                  <c:v>5.5555555555564594E-2</c:v>
                </c:pt>
                <c:pt idx="166">
                  <c:v>8.9225589225598242E-2</c:v>
                </c:pt>
                <c:pt idx="167">
                  <c:v>0.1228956228956319</c:v>
                </c:pt>
                <c:pt idx="168">
                  <c:v>0.15656565656566554</c:v>
                </c:pt>
                <c:pt idx="169">
                  <c:v>0.1902356902356992</c:v>
                </c:pt>
                <c:pt idx="170">
                  <c:v>0.22390572390573285</c:v>
                </c:pt>
                <c:pt idx="171">
                  <c:v>0.25757575757576651</c:v>
                </c:pt>
                <c:pt idx="172">
                  <c:v>0.29124579124580013</c:v>
                </c:pt>
                <c:pt idx="173">
                  <c:v>0.32491582491583382</c:v>
                </c:pt>
                <c:pt idx="174">
                  <c:v>0.35858585858586756</c:v>
                </c:pt>
                <c:pt idx="175">
                  <c:v>0.3922558922559013</c:v>
                </c:pt>
                <c:pt idx="176">
                  <c:v>0.42592592592593503</c:v>
                </c:pt>
                <c:pt idx="177">
                  <c:v>0.45959595959596877</c:v>
                </c:pt>
                <c:pt idx="178">
                  <c:v>0.49326599326600251</c:v>
                </c:pt>
                <c:pt idx="179">
                  <c:v>0.52693602693603625</c:v>
                </c:pt>
                <c:pt idx="180">
                  <c:v>0.56060606060606999</c:v>
                </c:pt>
                <c:pt idx="181">
                  <c:v>0.59427609427610373</c:v>
                </c:pt>
                <c:pt idx="182">
                  <c:v>0.62794612794613747</c:v>
                </c:pt>
                <c:pt idx="183">
                  <c:v>0.66161616161617121</c:v>
                </c:pt>
                <c:pt idx="184">
                  <c:v>0.69528619528620494</c:v>
                </c:pt>
                <c:pt idx="185">
                  <c:v>0.72895622895623868</c:v>
                </c:pt>
                <c:pt idx="186">
                  <c:v>0.76262626262627242</c:v>
                </c:pt>
                <c:pt idx="187">
                  <c:v>0.79629629629630616</c:v>
                </c:pt>
                <c:pt idx="188">
                  <c:v>0.8299663299663399</c:v>
                </c:pt>
                <c:pt idx="189">
                  <c:v>0.86363636363637364</c:v>
                </c:pt>
                <c:pt idx="190">
                  <c:v>0.89730639730640738</c:v>
                </c:pt>
                <c:pt idx="191">
                  <c:v>0.93097643097644112</c:v>
                </c:pt>
                <c:pt idx="192">
                  <c:v>0.96464646464647485</c:v>
                </c:pt>
                <c:pt idx="193">
                  <c:v>0.99831649831650859</c:v>
                </c:pt>
                <c:pt idx="194">
                  <c:v>0.96801346801345767</c:v>
                </c:pt>
                <c:pt idx="195">
                  <c:v>0.93434343434342393</c:v>
                </c:pt>
                <c:pt idx="196">
                  <c:v>0.90067340067339019</c:v>
                </c:pt>
                <c:pt idx="197">
                  <c:v>0.86700336700335645</c:v>
                </c:pt>
                <c:pt idx="198">
                  <c:v>0.83333333333332293</c:v>
                </c:pt>
                <c:pt idx="199">
                  <c:v>0.79966329966328931</c:v>
                </c:pt>
                <c:pt idx="200">
                  <c:v>0.76599326599325579</c:v>
                </c:pt>
                <c:pt idx="201">
                  <c:v>0.73232323232322227</c:v>
                </c:pt>
                <c:pt idx="202">
                  <c:v>0.69865319865318865</c:v>
                </c:pt>
                <c:pt idx="203">
                  <c:v>0.66498316498315513</c:v>
                </c:pt>
                <c:pt idx="204">
                  <c:v>0.6313131313131215</c:v>
                </c:pt>
                <c:pt idx="205">
                  <c:v>0.59764309764308798</c:v>
                </c:pt>
                <c:pt idx="206">
                  <c:v>0.56397306397305447</c:v>
                </c:pt>
                <c:pt idx="207">
                  <c:v>0.53030303030302084</c:v>
                </c:pt>
                <c:pt idx="208">
                  <c:v>0.49663299663298732</c:v>
                </c:pt>
                <c:pt idx="209">
                  <c:v>0.46296296296295375</c:v>
                </c:pt>
                <c:pt idx="210">
                  <c:v>0.42929292929292018</c:v>
                </c:pt>
                <c:pt idx="211">
                  <c:v>0.39562289562288661</c:v>
                </c:pt>
                <c:pt idx="212">
                  <c:v>0.36195286195285303</c:v>
                </c:pt>
                <c:pt idx="213">
                  <c:v>0.32828282828281952</c:v>
                </c:pt>
                <c:pt idx="214">
                  <c:v>0.29461279461278594</c:v>
                </c:pt>
                <c:pt idx="215">
                  <c:v>0.26094276094275237</c:v>
                </c:pt>
                <c:pt idx="216">
                  <c:v>0.2272727272727188</c:v>
                </c:pt>
                <c:pt idx="217">
                  <c:v>0.19360269360268526</c:v>
                </c:pt>
                <c:pt idx="218">
                  <c:v>0.15993265993265168</c:v>
                </c:pt>
                <c:pt idx="219">
                  <c:v>0.12626262626261814</c:v>
                </c:pt>
                <c:pt idx="220">
                  <c:v>9.2592592592584566E-2</c:v>
                </c:pt>
                <c:pt idx="221">
                  <c:v>5.8922558922551008E-2</c:v>
                </c:pt>
                <c:pt idx="222">
                  <c:v>2.5252525252517442E-2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E3-4180-B60E-30715F35B39D}"/>
            </c:ext>
          </c:extLst>
        </c:ser>
        <c:ser>
          <c:idx val="7"/>
          <c:order val="7"/>
          <c:tx>
            <c:strRef>
              <c:f>'Salida M'!$K$7</c:f>
              <c:strCache>
                <c:ptCount val="1"/>
                <c:pt idx="0">
                  <c:v>+50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M'!$K$9:$K$306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3.1986531986542312E-2</c:v>
                </c:pt>
                <c:pt idx="195">
                  <c:v>6.5656565656576044E-2</c:v>
                </c:pt>
                <c:pt idx="196">
                  <c:v>9.9326599326609782E-2</c:v>
                </c:pt>
                <c:pt idx="197">
                  <c:v>0.13299663299664352</c:v>
                </c:pt>
                <c:pt idx="198">
                  <c:v>0.16666666666667709</c:v>
                </c:pt>
                <c:pt idx="199">
                  <c:v>0.20033670033671064</c:v>
                </c:pt>
                <c:pt idx="200">
                  <c:v>0.23400673400674421</c:v>
                </c:pt>
                <c:pt idx="201">
                  <c:v>0.26767676767677778</c:v>
                </c:pt>
                <c:pt idx="202">
                  <c:v>0.30134680134681135</c:v>
                </c:pt>
                <c:pt idx="203">
                  <c:v>0.33501683501684487</c:v>
                </c:pt>
                <c:pt idx="204">
                  <c:v>0.36868686868687844</c:v>
                </c:pt>
                <c:pt idx="205">
                  <c:v>0.40235690235691202</c:v>
                </c:pt>
                <c:pt idx="206">
                  <c:v>0.43602693602694559</c:v>
                </c:pt>
                <c:pt idx="207">
                  <c:v>0.46969696969697916</c:v>
                </c:pt>
                <c:pt idx="208">
                  <c:v>0.50336700336701268</c:v>
                </c:pt>
                <c:pt idx="209">
                  <c:v>0.53703703703704631</c:v>
                </c:pt>
                <c:pt idx="210">
                  <c:v>0.57070707070707982</c:v>
                </c:pt>
                <c:pt idx="211">
                  <c:v>0.60437710437711334</c:v>
                </c:pt>
                <c:pt idx="212">
                  <c:v>0.63804713804714697</c:v>
                </c:pt>
                <c:pt idx="213">
                  <c:v>0.67171717171718048</c:v>
                </c:pt>
                <c:pt idx="214">
                  <c:v>0.70538720538721411</c:v>
                </c:pt>
                <c:pt idx="215">
                  <c:v>0.73905723905724763</c:v>
                </c:pt>
                <c:pt idx="216">
                  <c:v>0.77272727272728114</c:v>
                </c:pt>
                <c:pt idx="217">
                  <c:v>0.80639730639731477</c:v>
                </c:pt>
                <c:pt idx="218">
                  <c:v>0.84006734006734829</c:v>
                </c:pt>
                <c:pt idx="219">
                  <c:v>0.87373737373738192</c:v>
                </c:pt>
                <c:pt idx="220">
                  <c:v>0.90740740740741543</c:v>
                </c:pt>
                <c:pt idx="221">
                  <c:v>0.94107744107744895</c:v>
                </c:pt>
                <c:pt idx="222">
                  <c:v>0.97474747474748258</c:v>
                </c:pt>
                <c:pt idx="223">
                  <c:v>0.98316498316496781</c:v>
                </c:pt>
                <c:pt idx="224">
                  <c:v>0.91582491582490066</c:v>
                </c:pt>
                <c:pt idx="225">
                  <c:v>0.84848484848483352</c:v>
                </c:pt>
                <c:pt idx="226">
                  <c:v>0.78114478114476638</c:v>
                </c:pt>
                <c:pt idx="227">
                  <c:v>0.71380471380469923</c:v>
                </c:pt>
                <c:pt idx="228">
                  <c:v>0.6464646464646322</c:v>
                </c:pt>
                <c:pt idx="229">
                  <c:v>0.57912457912456505</c:v>
                </c:pt>
                <c:pt idx="230">
                  <c:v>0.51178451178449791</c:v>
                </c:pt>
                <c:pt idx="231">
                  <c:v>0.44444444444443076</c:v>
                </c:pt>
                <c:pt idx="232">
                  <c:v>0.37710437710436367</c:v>
                </c:pt>
                <c:pt idx="233">
                  <c:v>0.30976430976429653</c:v>
                </c:pt>
                <c:pt idx="234">
                  <c:v>0.24242424242422941</c:v>
                </c:pt>
                <c:pt idx="235">
                  <c:v>0.1750841750841623</c:v>
                </c:pt>
                <c:pt idx="236">
                  <c:v>0.10774410774409518</c:v>
                </c:pt>
                <c:pt idx="237">
                  <c:v>4.0404040404028049E-2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E3-4180-B60E-30715F35B39D}"/>
            </c:ext>
          </c:extLst>
        </c:ser>
        <c:ser>
          <c:idx val="8"/>
          <c:order val="8"/>
          <c:tx>
            <c:strRef>
              <c:f>'Salida M'!$L$7</c:f>
              <c:strCache>
                <c:ptCount val="1"/>
                <c:pt idx="0">
                  <c:v>+60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M'!$L$9:$L$306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1.6835016835032236E-2</c:v>
                </c:pt>
                <c:pt idx="224">
                  <c:v>8.4175084175099363E-2</c:v>
                </c:pt>
                <c:pt idx="225">
                  <c:v>0.15151515151516648</c:v>
                </c:pt>
                <c:pt idx="226">
                  <c:v>0.2188552188552336</c:v>
                </c:pt>
                <c:pt idx="227">
                  <c:v>0.28619528619530071</c:v>
                </c:pt>
                <c:pt idx="228">
                  <c:v>0.35353535353536786</c:v>
                </c:pt>
                <c:pt idx="229">
                  <c:v>0.42087542087543495</c:v>
                </c:pt>
                <c:pt idx="230">
                  <c:v>0.48821548821550209</c:v>
                </c:pt>
                <c:pt idx="231">
                  <c:v>0.55555555555556924</c:v>
                </c:pt>
                <c:pt idx="232">
                  <c:v>0.62289562289563638</c:v>
                </c:pt>
                <c:pt idx="233">
                  <c:v>0.69023569023570341</c:v>
                </c:pt>
                <c:pt idx="234">
                  <c:v>0.75757575757577056</c:v>
                </c:pt>
                <c:pt idx="235">
                  <c:v>0.8249158249158377</c:v>
                </c:pt>
                <c:pt idx="236">
                  <c:v>0.89225589225590485</c:v>
                </c:pt>
                <c:pt idx="237">
                  <c:v>0.95959595959597199</c:v>
                </c:pt>
                <c:pt idx="238">
                  <c:v>0.98653198653198049</c:v>
                </c:pt>
                <c:pt idx="239">
                  <c:v>0.95286195286194686</c:v>
                </c:pt>
                <c:pt idx="240">
                  <c:v>0.91919191919191334</c:v>
                </c:pt>
                <c:pt idx="241">
                  <c:v>0.88552188552187983</c:v>
                </c:pt>
                <c:pt idx="242">
                  <c:v>0.8518518518518462</c:v>
                </c:pt>
                <c:pt idx="243">
                  <c:v>0.81818181818181268</c:v>
                </c:pt>
                <c:pt idx="244">
                  <c:v>0.78451178451177905</c:v>
                </c:pt>
                <c:pt idx="245">
                  <c:v>0.7508417508417452</c:v>
                </c:pt>
                <c:pt idx="246">
                  <c:v>0.71717171717171124</c:v>
                </c:pt>
                <c:pt idx="247">
                  <c:v>0.68350168350167739</c:v>
                </c:pt>
                <c:pt idx="248">
                  <c:v>0.64983164983164343</c:v>
                </c:pt>
                <c:pt idx="249">
                  <c:v>0.61616161616160947</c:v>
                </c:pt>
                <c:pt idx="250">
                  <c:v>0.58249158249157562</c:v>
                </c:pt>
                <c:pt idx="251">
                  <c:v>0.54882154882154166</c:v>
                </c:pt>
                <c:pt idx="252">
                  <c:v>0.51515151515150781</c:v>
                </c:pt>
                <c:pt idx="253">
                  <c:v>0.48148148148147385</c:v>
                </c:pt>
                <c:pt idx="254">
                  <c:v>0.44781144781143994</c:v>
                </c:pt>
                <c:pt idx="255">
                  <c:v>0.41414141414140604</c:v>
                </c:pt>
                <c:pt idx="256">
                  <c:v>0.38047138047137208</c:v>
                </c:pt>
                <c:pt idx="257">
                  <c:v>0.34680134680133817</c:v>
                </c:pt>
                <c:pt idx="258">
                  <c:v>0.31313131313130427</c:v>
                </c:pt>
                <c:pt idx="259">
                  <c:v>0.27946127946127036</c:v>
                </c:pt>
                <c:pt idx="260">
                  <c:v>0.24579124579123643</c:v>
                </c:pt>
                <c:pt idx="261">
                  <c:v>0.21212121212120252</c:v>
                </c:pt>
                <c:pt idx="262">
                  <c:v>0.17845117845116859</c:v>
                </c:pt>
                <c:pt idx="263">
                  <c:v>0.14478114478113469</c:v>
                </c:pt>
                <c:pt idx="264">
                  <c:v>0.11111111111110077</c:v>
                </c:pt>
                <c:pt idx="265">
                  <c:v>7.7441077441066847E-2</c:v>
                </c:pt>
                <c:pt idx="266">
                  <c:v>4.3771043771032934E-2</c:v>
                </c:pt>
                <c:pt idx="267">
                  <c:v>1.0101010100999019E-2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E3-4180-B60E-30715F35B39D}"/>
            </c:ext>
          </c:extLst>
        </c:ser>
        <c:ser>
          <c:idx val="9"/>
          <c:order val="9"/>
          <c:tx>
            <c:strRef>
              <c:f>'Salida M'!$M$7</c:f>
              <c:strCache>
                <c:ptCount val="1"/>
                <c:pt idx="0">
                  <c:v>+80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M'!$M$9:$M$306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1.3468013468019535E-2</c:v>
                </c:pt>
                <c:pt idx="239">
                  <c:v>4.7138047138053099E-2</c:v>
                </c:pt>
                <c:pt idx="240">
                  <c:v>8.0808080808086657E-2</c:v>
                </c:pt>
                <c:pt idx="241">
                  <c:v>0.11447811447812022</c:v>
                </c:pt>
                <c:pt idx="242">
                  <c:v>0.14814814814815377</c:v>
                </c:pt>
                <c:pt idx="243">
                  <c:v>0.18181818181818735</c:v>
                </c:pt>
                <c:pt idx="244">
                  <c:v>0.21548821548822089</c:v>
                </c:pt>
                <c:pt idx="245">
                  <c:v>0.24915824915825482</c:v>
                </c:pt>
                <c:pt idx="246">
                  <c:v>0.28282828282828876</c:v>
                </c:pt>
                <c:pt idx="247">
                  <c:v>0.31649831649832266</c:v>
                </c:pt>
                <c:pt idx="248">
                  <c:v>0.35016835016835657</c:v>
                </c:pt>
                <c:pt idx="249">
                  <c:v>0.38383838383839047</c:v>
                </c:pt>
                <c:pt idx="250">
                  <c:v>0.41750841750842438</c:v>
                </c:pt>
                <c:pt idx="251">
                  <c:v>0.45117845117845834</c:v>
                </c:pt>
                <c:pt idx="252">
                  <c:v>0.48484848484849224</c:v>
                </c:pt>
                <c:pt idx="253">
                  <c:v>0.51851851851852615</c:v>
                </c:pt>
                <c:pt idx="254">
                  <c:v>0.55218855218856011</c:v>
                </c:pt>
                <c:pt idx="255">
                  <c:v>0.58585858585859396</c:v>
                </c:pt>
                <c:pt idx="256">
                  <c:v>0.61952861952862792</c:v>
                </c:pt>
                <c:pt idx="257">
                  <c:v>0.65319865319866177</c:v>
                </c:pt>
                <c:pt idx="258">
                  <c:v>0.68686868686869573</c:v>
                </c:pt>
                <c:pt idx="259">
                  <c:v>0.72053872053872969</c:v>
                </c:pt>
                <c:pt idx="260">
                  <c:v>0.75420875420876354</c:v>
                </c:pt>
                <c:pt idx="261">
                  <c:v>0.7878787878787975</c:v>
                </c:pt>
                <c:pt idx="262">
                  <c:v>0.82154882154883135</c:v>
                </c:pt>
                <c:pt idx="263">
                  <c:v>0.85521885521886531</c:v>
                </c:pt>
                <c:pt idx="264">
                  <c:v>0.88888888888889928</c:v>
                </c:pt>
                <c:pt idx="265">
                  <c:v>0.92255892255893313</c:v>
                </c:pt>
                <c:pt idx="266">
                  <c:v>0.95622895622896709</c:v>
                </c:pt>
                <c:pt idx="267">
                  <c:v>0.98989898989900094</c:v>
                </c:pt>
                <c:pt idx="268">
                  <c:v>0.95286195286193021</c:v>
                </c:pt>
                <c:pt idx="269">
                  <c:v>0.8855218855218624</c:v>
                </c:pt>
                <c:pt idx="270">
                  <c:v>0.81818181818179458</c:v>
                </c:pt>
                <c:pt idx="271">
                  <c:v>0.75084175084172666</c:v>
                </c:pt>
                <c:pt idx="272">
                  <c:v>0.68350168350165885</c:v>
                </c:pt>
                <c:pt idx="273">
                  <c:v>0.61616161616159104</c:v>
                </c:pt>
                <c:pt idx="274">
                  <c:v>0.54882154882152323</c:v>
                </c:pt>
                <c:pt idx="275">
                  <c:v>0.48148148148145536</c:v>
                </c:pt>
                <c:pt idx="276">
                  <c:v>0.41414141414138755</c:v>
                </c:pt>
                <c:pt idx="277">
                  <c:v>0.34680134680131969</c:v>
                </c:pt>
                <c:pt idx="278">
                  <c:v>0.27946127946125188</c:v>
                </c:pt>
                <c:pt idx="279">
                  <c:v>0.21212121212118404</c:v>
                </c:pt>
                <c:pt idx="280">
                  <c:v>0.1447811447811162</c:v>
                </c:pt>
                <c:pt idx="281">
                  <c:v>7.7441077441048375E-2</c:v>
                </c:pt>
                <c:pt idx="282">
                  <c:v>1.0101010100980546E-2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E3-4180-B60E-30715F35B39D}"/>
            </c:ext>
          </c:extLst>
        </c:ser>
        <c:ser>
          <c:idx val="10"/>
          <c:order val="10"/>
          <c:tx>
            <c:strRef>
              <c:f>'Salida M'!$N$7</c:f>
              <c:strCache>
                <c:ptCount val="1"/>
                <c:pt idx="0">
                  <c:v>+90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'Salida M'!$B$9:$B$306</c:f>
              <c:numCache>
                <c:formatCode>0.00</c:formatCode>
                <c:ptCount val="298"/>
                <c:pt idx="0" formatCode="General">
                  <c:v>-100</c:v>
                </c:pt>
                <c:pt idx="1">
                  <c:v>-99.326599326599322</c:v>
                </c:pt>
                <c:pt idx="2">
                  <c:v>-98.653198653198643</c:v>
                </c:pt>
                <c:pt idx="3">
                  <c:v>-97.979797979797965</c:v>
                </c:pt>
                <c:pt idx="4">
                  <c:v>-97.306397306397287</c:v>
                </c:pt>
                <c:pt idx="5">
                  <c:v>-96.632996632996608</c:v>
                </c:pt>
                <c:pt idx="6">
                  <c:v>-95.95959595959593</c:v>
                </c:pt>
                <c:pt idx="7">
                  <c:v>-95.286195286195252</c:v>
                </c:pt>
                <c:pt idx="8">
                  <c:v>-94.612794612794573</c:v>
                </c:pt>
                <c:pt idx="9">
                  <c:v>-93.939393939393895</c:v>
                </c:pt>
                <c:pt idx="10">
                  <c:v>-93.265993265993217</c:v>
                </c:pt>
                <c:pt idx="11">
                  <c:v>-92.592592592592538</c:v>
                </c:pt>
                <c:pt idx="12">
                  <c:v>-91.91919191919186</c:v>
                </c:pt>
                <c:pt idx="13">
                  <c:v>-91.245791245791182</c:v>
                </c:pt>
                <c:pt idx="14">
                  <c:v>-90.572390572390503</c:v>
                </c:pt>
                <c:pt idx="15">
                  <c:v>-89.898989898989825</c:v>
                </c:pt>
                <c:pt idx="16">
                  <c:v>-89.225589225589147</c:v>
                </c:pt>
                <c:pt idx="17">
                  <c:v>-88.552188552188468</c:v>
                </c:pt>
                <c:pt idx="18">
                  <c:v>-87.87878787878779</c:v>
                </c:pt>
                <c:pt idx="19">
                  <c:v>-87.205387205387112</c:v>
                </c:pt>
                <c:pt idx="20">
                  <c:v>-86.531986531986433</c:v>
                </c:pt>
                <c:pt idx="21">
                  <c:v>-85.858585858585755</c:v>
                </c:pt>
                <c:pt idx="22">
                  <c:v>-85.185185185185077</c:v>
                </c:pt>
                <c:pt idx="23">
                  <c:v>-84.511784511784398</c:v>
                </c:pt>
                <c:pt idx="24">
                  <c:v>-83.83838383838372</c:v>
                </c:pt>
                <c:pt idx="25">
                  <c:v>-83.164983164983042</c:v>
                </c:pt>
                <c:pt idx="26">
                  <c:v>-82.491582491582363</c:v>
                </c:pt>
                <c:pt idx="27">
                  <c:v>-81.818181818181685</c:v>
                </c:pt>
                <c:pt idx="28">
                  <c:v>-81.144781144781007</c:v>
                </c:pt>
                <c:pt idx="29">
                  <c:v>-80.471380471380328</c:v>
                </c:pt>
                <c:pt idx="30">
                  <c:v>-79.79797979797965</c:v>
                </c:pt>
                <c:pt idx="31">
                  <c:v>-79.124579124578972</c:v>
                </c:pt>
                <c:pt idx="32">
                  <c:v>-78.451178451178293</c:v>
                </c:pt>
                <c:pt idx="33">
                  <c:v>-77.777777777777615</c:v>
                </c:pt>
                <c:pt idx="34">
                  <c:v>-77.104377104376937</c:v>
                </c:pt>
                <c:pt idx="35">
                  <c:v>-76.430976430976258</c:v>
                </c:pt>
                <c:pt idx="36">
                  <c:v>-75.75757575757558</c:v>
                </c:pt>
                <c:pt idx="37">
                  <c:v>-75.084175084174902</c:v>
                </c:pt>
                <c:pt idx="38">
                  <c:v>-74.410774410774223</c:v>
                </c:pt>
                <c:pt idx="39">
                  <c:v>-73.737373737373545</c:v>
                </c:pt>
                <c:pt idx="40">
                  <c:v>-73.063973063972867</c:v>
                </c:pt>
                <c:pt idx="41">
                  <c:v>-72.390572390572189</c:v>
                </c:pt>
                <c:pt idx="42">
                  <c:v>-71.71717171717151</c:v>
                </c:pt>
                <c:pt idx="43">
                  <c:v>-71.043771043770832</c:v>
                </c:pt>
                <c:pt idx="44">
                  <c:v>-70.370370370370154</c:v>
                </c:pt>
                <c:pt idx="45">
                  <c:v>-69.696969696969475</c:v>
                </c:pt>
                <c:pt idx="46">
                  <c:v>-69.023569023568797</c:v>
                </c:pt>
                <c:pt idx="47">
                  <c:v>-68.350168350168119</c:v>
                </c:pt>
                <c:pt idx="48">
                  <c:v>-67.67676767676744</c:v>
                </c:pt>
                <c:pt idx="49">
                  <c:v>-67.003367003366762</c:v>
                </c:pt>
                <c:pt idx="50">
                  <c:v>-66.329966329966084</c:v>
                </c:pt>
                <c:pt idx="51">
                  <c:v>-65.656565656565405</c:v>
                </c:pt>
                <c:pt idx="52">
                  <c:v>-64.983164983164727</c:v>
                </c:pt>
                <c:pt idx="53">
                  <c:v>-64.309764309764049</c:v>
                </c:pt>
                <c:pt idx="54">
                  <c:v>-63.636363636363377</c:v>
                </c:pt>
                <c:pt idx="55">
                  <c:v>-62.962962962962706</c:v>
                </c:pt>
                <c:pt idx="56">
                  <c:v>-62.289562289562035</c:v>
                </c:pt>
                <c:pt idx="57">
                  <c:v>-61.616161616161364</c:v>
                </c:pt>
                <c:pt idx="58">
                  <c:v>-60.942760942760692</c:v>
                </c:pt>
                <c:pt idx="59">
                  <c:v>-60.269360269360021</c:v>
                </c:pt>
                <c:pt idx="60">
                  <c:v>-59.59595959595935</c:v>
                </c:pt>
                <c:pt idx="61">
                  <c:v>-58.922558922558679</c:v>
                </c:pt>
                <c:pt idx="62">
                  <c:v>-58.249158249158008</c:v>
                </c:pt>
                <c:pt idx="63">
                  <c:v>-57.575757575757336</c:v>
                </c:pt>
                <c:pt idx="64">
                  <c:v>-56.902356902356665</c:v>
                </c:pt>
                <c:pt idx="65">
                  <c:v>-56.228956228955994</c:v>
                </c:pt>
                <c:pt idx="66">
                  <c:v>-55.555555555555323</c:v>
                </c:pt>
                <c:pt idx="67">
                  <c:v>-54.882154882154651</c:v>
                </c:pt>
                <c:pt idx="68">
                  <c:v>-54.20875420875398</c:v>
                </c:pt>
                <c:pt idx="69">
                  <c:v>-53.535353535353309</c:v>
                </c:pt>
                <c:pt idx="70">
                  <c:v>-52.861952861952638</c:v>
                </c:pt>
                <c:pt idx="71">
                  <c:v>-52.188552188551967</c:v>
                </c:pt>
                <c:pt idx="72">
                  <c:v>-51.515151515151295</c:v>
                </c:pt>
                <c:pt idx="73">
                  <c:v>-50.841750841750624</c:v>
                </c:pt>
                <c:pt idx="74">
                  <c:v>-50.168350168349953</c:v>
                </c:pt>
                <c:pt idx="75">
                  <c:v>-49.494949494949282</c:v>
                </c:pt>
                <c:pt idx="76">
                  <c:v>-48.82154882154861</c:v>
                </c:pt>
                <c:pt idx="77">
                  <c:v>-48.148148148147939</c:v>
                </c:pt>
                <c:pt idx="78">
                  <c:v>-47.474747474747268</c:v>
                </c:pt>
                <c:pt idx="79">
                  <c:v>-46.801346801346597</c:v>
                </c:pt>
                <c:pt idx="80">
                  <c:v>-46.127946127945926</c:v>
                </c:pt>
                <c:pt idx="81">
                  <c:v>-45.454545454545254</c:v>
                </c:pt>
                <c:pt idx="82">
                  <c:v>-44.781144781144583</c:v>
                </c:pt>
                <c:pt idx="83">
                  <c:v>-44.107744107743912</c:v>
                </c:pt>
                <c:pt idx="84">
                  <c:v>-43.434343434343241</c:v>
                </c:pt>
                <c:pt idx="85">
                  <c:v>-42.760942760942569</c:v>
                </c:pt>
                <c:pt idx="86">
                  <c:v>-42.087542087541898</c:v>
                </c:pt>
                <c:pt idx="87">
                  <c:v>-41.414141414141227</c:v>
                </c:pt>
                <c:pt idx="88">
                  <c:v>-40.740740740740556</c:v>
                </c:pt>
                <c:pt idx="89">
                  <c:v>-40.067340067339885</c:v>
                </c:pt>
                <c:pt idx="90">
                  <c:v>-39.393939393939213</c:v>
                </c:pt>
                <c:pt idx="91">
                  <c:v>-38.720538720538542</c:v>
                </c:pt>
                <c:pt idx="92">
                  <c:v>-38.047138047137871</c:v>
                </c:pt>
                <c:pt idx="93">
                  <c:v>-37.3737373737372</c:v>
                </c:pt>
                <c:pt idx="94">
                  <c:v>-36.700336700336528</c:v>
                </c:pt>
                <c:pt idx="95">
                  <c:v>-36.026936026935857</c:v>
                </c:pt>
                <c:pt idx="96">
                  <c:v>-35.353535353535186</c:v>
                </c:pt>
                <c:pt idx="97">
                  <c:v>-34.680134680134515</c:v>
                </c:pt>
                <c:pt idx="98">
                  <c:v>-34.006734006733844</c:v>
                </c:pt>
                <c:pt idx="99">
                  <c:v>-33.333333333333172</c:v>
                </c:pt>
                <c:pt idx="100">
                  <c:v>-32.659932659932501</c:v>
                </c:pt>
                <c:pt idx="101">
                  <c:v>-31.986531986531826</c:v>
                </c:pt>
                <c:pt idx="102">
                  <c:v>-31.313131313131152</c:v>
                </c:pt>
                <c:pt idx="103">
                  <c:v>-30.639730639730477</c:v>
                </c:pt>
                <c:pt idx="104">
                  <c:v>-29.966329966329802</c:v>
                </c:pt>
                <c:pt idx="105">
                  <c:v>-29.292929292929127</c:v>
                </c:pt>
                <c:pt idx="106">
                  <c:v>-28.619528619528452</c:v>
                </c:pt>
                <c:pt idx="107">
                  <c:v>-27.946127946127778</c:v>
                </c:pt>
                <c:pt idx="108">
                  <c:v>-27.272727272727103</c:v>
                </c:pt>
                <c:pt idx="109">
                  <c:v>-26.599326599326428</c:v>
                </c:pt>
                <c:pt idx="110">
                  <c:v>-25.925925925925753</c:v>
                </c:pt>
                <c:pt idx="111">
                  <c:v>-25.252525252525079</c:v>
                </c:pt>
                <c:pt idx="112">
                  <c:v>-24.579124579124404</c:v>
                </c:pt>
                <c:pt idx="113">
                  <c:v>-23.905723905723729</c:v>
                </c:pt>
                <c:pt idx="114">
                  <c:v>-23.232323232323054</c:v>
                </c:pt>
                <c:pt idx="115">
                  <c:v>-22.558922558922379</c:v>
                </c:pt>
                <c:pt idx="116">
                  <c:v>-21.885521885521705</c:v>
                </c:pt>
                <c:pt idx="117">
                  <c:v>-21.21212121212103</c:v>
                </c:pt>
                <c:pt idx="118">
                  <c:v>-20.538720538720355</c:v>
                </c:pt>
                <c:pt idx="119">
                  <c:v>-19.86531986531968</c:v>
                </c:pt>
                <c:pt idx="120">
                  <c:v>-19.191919191919006</c:v>
                </c:pt>
                <c:pt idx="121">
                  <c:v>-18.518518518518331</c:v>
                </c:pt>
                <c:pt idx="122">
                  <c:v>-17.845117845117656</c:v>
                </c:pt>
                <c:pt idx="123">
                  <c:v>-17.171717171716981</c:v>
                </c:pt>
                <c:pt idx="124">
                  <c:v>-16.498316498316306</c:v>
                </c:pt>
                <c:pt idx="125">
                  <c:v>-15.824915824915633</c:v>
                </c:pt>
                <c:pt idx="126">
                  <c:v>-15.15151515151496</c:v>
                </c:pt>
                <c:pt idx="127">
                  <c:v>-14.478114478114287</c:v>
                </c:pt>
                <c:pt idx="128">
                  <c:v>-13.804713804713614</c:v>
                </c:pt>
                <c:pt idx="129">
                  <c:v>-13.131313131312941</c:v>
                </c:pt>
                <c:pt idx="130">
                  <c:v>-12.457912457912268</c:v>
                </c:pt>
                <c:pt idx="131">
                  <c:v>-11.784511784511595</c:v>
                </c:pt>
                <c:pt idx="132">
                  <c:v>-11.111111111110922</c:v>
                </c:pt>
                <c:pt idx="133">
                  <c:v>-10.437710437710249</c:v>
                </c:pt>
                <c:pt idx="134">
                  <c:v>-9.7643097643095764</c:v>
                </c:pt>
                <c:pt idx="135">
                  <c:v>-9.0909090909089034</c:v>
                </c:pt>
                <c:pt idx="136">
                  <c:v>-8.4175084175082304</c:v>
                </c:pt>
                <c:pt idx="137">
                  <c:v>-7.7441077441075574</c:v>
                </c:pt>
                <c:pt idx="138">
                  <c:v>-7.0707070707068844</c:v>
                </c:pt>
                <c:pt idx="139">
                  <c:v>-6.3973063973062114</c:v>
                </c:pt>
                <c:pt idx="140">
                  <c:v>-5.7239057239055384</c:v>
                </c:pt>
                <c:pt idx="141">
                  <c:v>-5.0505050505048654</c:v>
                </c:pt>
                <c:pt idx="142">
                  <c:v>-4.3771043771041924</c:v>
                </c:pt>
                <c:pt idx="143">
                  <c:v>-3.703703703703519</c:v>
                </c:pt>
                <c:pt idx="144">
                  <c:v>-3.0303030303028455</c:v>
                </c:pt>
                <c:pt idx="145">
                  <c:v>-2.3569023569021721</c:v>
                </c:pt>
                <c:pt idx="146">
                  <c:v>-1.6835016835014986</c:v>
                </c:pt>
                <c:pt idx="147">
                  <c:v>-1.0101010101008252</c:v>
                </c:pt>
                <c:pt idx="148">
                  <c:v>-0.33670033670015176</c:v>
                </c:pt>
                <c:pt idx="149">
                  <c:v>0.33670033670052169</c:v>
                </c:pt>
                <c:pt idx="150">
                  <c:v>1.0101010101011951</c:v>
                </c:pt>
                <c:pt idx="151">
                  <c:v>1.6835016835018686</c:v>
                </c:pt>
                <c:pt idx="152">
                  <c:v>2.356902356902542</c:v>
                </c:pt>
                <c:pt idx="153">
                  <c:v>3.0303030303032155</c:v>
                </c:pt>
                <c:pt idx="154">
                  <c:v>3.7037037037038889</c:v>
                </c:pt>
                <c:pt idx="155">
                  <c:v>4.3771043771045619</c:v>
                </c:pt>
                <c:pt idx="156">
                  <c:v>5.0505050505052349</c:v>
                </c:pt>
                <c:pt idx="157">
                  <c:v>5.7239057239059079</c:v>
                </c:pt>
                <c:pt idx="158">
                  <c:v>6.3973063973065809</c:v>
                </c:pt>
                <c:pt idx="159">
                  <c:v>7.0707070707072539</c:v>
                </c:pt>
                <c:pt idx="160">
                  <c:v>7.7441077441079269</c:v>
                </c:pt>
                <c:pt idx="161">
                  <c:v>8.4175084175085999</c:v>
                </c:pt>
                <c:pt idx="162">
                  <c:v>9.0909090909092729</c:v>
                </c:pt>
                <c:pt idx="163">
                  <c:v>9.7643097643099459</c:v>
                </c:pt>
                <c:pt idx="164">
                  <c:v>10.437710437710619</c:v>
                </c:pt>
                <c:pt idx="165">
                  <c:v>11.111111111111292</c:v>
                </c:pt>
                <c:pt idx="166">
                  <c:v>11.784511784511965</c:v>
                </c:pt>
                <c:pt idx="167">
                  <c:v>12.457912457912638</c:v>
                </c:pt>
                <c:pt idx="168">
                  <c:v>13.131313131313311</c:v>
                </c:pt>
                <c:pt idx="169">
                  <c:v>13.804713804713984</c:v>
                </c:pt>
                <c:pt idx="170">
                  <c:v>14.478114478114657</c:v>
                </c:pt>
                <c:pt idx="171">
                  <c:v>15.15151515151533</c:v>
                </c:pt>
                <c:pt idx="172">
                  <c:v>15.824915824916003</c:v>
                </c:pt>
                <c:pt idx="173">
                  <c:v>16.498316498316676</c:v>
                </c:pt>
                <c:pt idx="174">
                  <c:v>17.171717171717351</c:v>
                </c:pt>
                <c:pt idx="175">
                  <c:v>17.845117845118025</c:v>
                </c:pt>
                <c:pt idx="176">
                  <c:v>18.5185185185187</c:v>
                </c:pt>
                <c:pt idx="177">
                  <c:v>19.191919191919375</c:v>
                </c:pt>
                <c:pt idx="178">
                  <c:v>19.86531986532005</c:v>
                </c:pt>
                <c:pt idx="179">
                  <c:v>20.538720538720725</c:v>
                </c:pt>
                <c:pt idx="180">
                  <c:v>21.212121212121399</c:v>
                </c:pt>
                <c:pt idx="181">
                  <c:v>21.885521885522074</c:v>
                </c:pt>
                <c:pt idx="182">
                  <c:v>22.558922558922749</c:v>
                </c:pt>
                <c:pt idx="183">
                  <c:v>23.232323232323424</c:v>
                </c:pt>
                <c:pt idx="184">
                  <c:v>23.905723905724098</c:v>
                </c:pt>
                <c:pt idx="185">
                  <c:v>24.579124579124773</c:v>
                </c:pt>
                <c:pt idx="186">
                  <c:v>25.252525252525448</c:v>
                </c:pt>
                <c:pt idx="187">
                  <c:v>25.925925925926123</c:v>
                </c:pt>
                <c:pt idx="188">
                  <c:v>26.599326599326798</c:v>
                </c:pt>
                <c:pt idx="189">
                  <c:v>27.272727272727472</c:v>
                </c:pt>
                <c:pt idx="190">
                  <c:v>27.946127946128147</c:v>
                </c:pt>
                <c:pt idx="191">
                  <c:v>28.619528619528822</c:v>
                </c:pt>
                <c:pt idx="192">
                  <c:v>29.292929292929497</c:v>
                </c:pt>
                <c:pt idx="193">
                  <c:v>29.966329966330171</c:v>
                </c:pt>
                <c:pt idx="194">
                  <c:v>30.639730639730846</c:v>
                </c:pt>
                <c:pt idx="195">
                  <c:v>31.313131313131521</c:v>
                </c:pt>
                <c:pt idx="196">
                  <c:v>31.986531986532196</c:v>
                </c:pt>
                <c:pt idx="197">
                  <c:v>32.659932659932871</c:v>
                </c:pt>
                <c:pt idx="198">
                  <c:v>33.333333333333542</c:v>
                </c:pt>
                <c:pt idx="199">
                  <c:v>34.006734006734213</c:v>
                </c:pt>
                <c:pt idx="200">
                  <c:v>34.680134680134884</c:v>
                </c:pt>
                <c:pt idx="201">
                  <c:v>35.353535353535555</c:v>
                </c:pt>
                <c:pt idx="202">
                  <c:v>36.026936026936227</c:v>
                </c:pt>
                <c:pt idx="203">
                  <c:v>36.700336700336898</c:v>
                </c:pt>
                <c:pt idx="204">
                  <c:v>37.373737373737569</c:v>
                </c:pt>
                <c:pt idx="205">
                  <c:v>38.04713804713824</c:v>
                </c:pt>
                <c:pt idx="206">
                  <c:v>38.720538720538912</c:v>
                </c:pt>
                <c:pt idx="207">
                  <c:v>39.393939393939583</c:v>
                </c:pt>
                <c:pt idx="208">
                  <c:v>40.067340067340254</c:v>
                </c:pt>
                <c:pt idx="209">
                  <c:v>40.740740740740925</c:v>
                </c:pt>
                <c:pt idx="210">
                  <c:v>41.414141414141596</c:v>
                </c:pt>
                <c:pt idx="211">
                  <c:v>42.087542087542268</c:v>
                </c:pt>
                <c:pt idx="212">
                  <c:v>42.760942760942939</c:v>
                </c:pt>
                <c:pt idx="213">
                  <c:v>43.43434343434361</c:v>
                </c:pt>
                <c:pt idx="214">
                  <c:v>44.107744107744281</c:v>
                </c:pt>
                <c:pt idx="215">
                  <c:v>44.781144781144953</c:v>
                </c:pt>
                <c:pt idx="216">
                  <c:v>45.454545454545624</c:v>
                </c:pt>
                <c:pt idx="217">
                  <c:v>46.127946127946295</c:v>
                </c:pt>
                <c:pt idx="218">
                  <c:v>46.801346801346966</c:v>
                </c:pt>
                <c:pt idx="219">
                  <c:v>47.474747474747637</c:v>
                </c:pt>
                <c:pt idx="220">
                  <c:v>48.148148148148309</c:v>
                </c:pt>
                <c:pt idx="221">
                  <c:v>48.82154882154898</c:v>
                </c:pt>
                <c:pt idx="222">
                  <c:v>49.494949494949651</c:v>
                </c:pt>
                <c:pt idx="223">
                  <c:v>50.168350168350322</c:v>
                </c:pt>
                <c:pt idx="224">
                  <c:v>50.841750841750994</c:v>
                </c:pt>
                <c:pt idx="225">
                  <c:v>51.515151515151665</c:v>
                </c:pt>
                <c:pt idx="226">
                  <c:v>52.188552188552336</c:v>
                </c:pt>
                <c:pt idx="227">
                  <c:v>52.861952861953007</c:v>
                </c:pt>
                <c:pt idx="228">
                  <c:v>53.535353535353678</c:v>
                </c:pt>
                <c:pt idx="229">
                  <c:v>54.20875420875435</c:v>
                </c:pt>
                <c:pt idx="230">
                  <c:v>54.882154882155021</c:v>
                </c:pt>
                <c:pt idx="231">
                  <c:v>55.555555555555692</c:v>
                </c:pt>
                <c:pt idx="232">
                  <c:v>56.228956228956363</c:v>
                </c:pt>
                <c:pt idx="233">
                  <c:v>56.902356902357035</c:v>
                </c:pt>
                <c:pt idx="234">
                  <c:v>57.575757575757706</c:v>
                </c:pt>
                <c:pt idx="235">
                  <c:v>58.249158249158377</c:v>
                </c:pt>
                <c:pt idx="236">
                  <c:v>58.922558922559048</c:v>
                </c:pt>
                <c:pt idx="237">
                  <c:v>59.595959595959719</c:v>
                </c:pt>
                <c:pt idx="238">
                  <c:v>60.269360269360391</c:v>
                </c:pt>
                <c:pt idx="239">
                  <c:v>60.942760942761062</c:v>
                </c:pt>
                <c:pt idx="240">
                  <c:v>61.616161616161733</c:v>
                </c:pt>
                <c:pt idx="241">
                  <c:v>62.289562289562404</c:v>
                </c:pt>
                <c:pt idx="242">
                  <c:v>62.962962962963076</c:v>
                </c:pt>
                <c:pt idx="243">
                  <c:v>63.636363636363747</c:v>
                </c:pt>
                <c:pt idx="244">
                  <c:v>64.309764309764418</c:v>
                </c:pt>
                <c:pt idx="245">
                  <c:v>64.983164983165096</c:v>
                </c:pt>
                <c:pt idx="246">
                  <c:v>65.656565656565775</c:v>
                </c:pt>
                <c:pt idx="247">
                  <c:v>66.329966329966453</c:v>
                </c:pt>
                <c:pt idx="248">
                  <c:v>67.003367003367131</c:v>
                </c:pt>
                <c:pt idx="249">
                  <c:v>67.67676767676781</c:v>
                </c:pt>
                <c:pt idx="250">
                  <c:v>68.350168350168488</c:v>
                </c:pt>
                <c:pt idx="251">
                  <c:v>69.023569023569166</c:v>
                </c:pt>
                <c:pt idx="252">
                  <c:v>69.696969696969845</c:v>
                </c:pt>
                <c:pt idx="253">
                  <c:v>70.370370370370523</c:v>
                </c:pt>
                <c:pt idx="254">
                  <c:v>71.043771043771201</c:v>
                </c:pt>
                <c:pt idx="255">
                  <c:v>71.71717171717188</c:v>
                </c:pt>
                <c:pt idx="256">
                  <c:v>72.390572390572558</c:v>
                </c:pt>
                <c:pt idx="257">
                  <c:v>73.063973063973236</c:v>
                </c:pt>
                <c:pt idx="258">
                  <c:v>73.737373737373915</c:v>
                </c:pt>
                <c:pt idx="259">
                  <c:v>74.410774410774593</c:v>
                </c:pt>
                <c:pt idx="260">
                  <c:v>75.084175084175271</c:v>
                </c:pt>
                <c:pt idx="261">
                  <c:v>75.75757575757595</c:v>
                </c:pt>
                <c:pt idx="262">
                  <c:v>76.430976430976628</c:v>
                </c:pt>
                <c:pt idx="263">
                  <c:v>77.104377104377306</c:v>
                </c:pt>
                <c:pt idx="264">
                  <c:v>77.777777777777985</c:v>
                </c:pt>
                <c:pt idx="265">
                  <c:v>78.451178451178663</c:v>
                </c:pt>
                <c:pt idx="266">
                  <c:v>79.124579124579341</c:v>
                </c:pt>
                <c:pt idx="267">
                  <c:v>79.79797979798002</c:v>
                </c:pt>
                <c:pt idx="268">
                  <c:v>80.471380471380698</c:v>
                </c:pt>
                <c:pt idx="269">
                  <c:v>81.144781144781376</c:v>
                </c:pt>
                <c:pt idx="270">
                  <c:v>81.818181818182055</c:v>
                </c:pt>
                <c:pt idx="271">
                  <c:v>82.491582491582733</c:v>
                </c:pt>
                <c:pt idx="272">
                  <c:v>83.164983164983411</c:v>
                </c:pt>
                <c:pt idx="273">
                  <c:v>83.83838383838409</c:v>
                </c:pt>
                <c:pt idx="274">
                  <c:v>84.511784511784768</c:v>
                </c:pt>
                <c:pt idx="275">
                  <c:v>85.185185185185446</c:v>
                </c:pt>
                <c:pt idx="276">
                  <c:v>85.858585858586125</c:v>
                </c:pt>
                <c:pt idx="277">
                  <c:v>86.531986531986803</c:v>
                </c:pt>
                <c:pt idx="278">
                  <c:v>87.205387205387481</c:v>
                </c:pt>
                <c:pt idx="279">
                  <c:v>87.87878787878816</c:v>
                </c:pt>
                <c:pt idx="280">
                  <c:v>88.552188552188838</c:v>
                </c:pt>
                <c:pt idx="281">
                  <c:v>89.225589225589516</c:v>
                </c:pt>
                <c:pt idx="282">
                  <c:v>89.898989898990195</c:v>
                </c:pt>
                <c:pt idx="283">
                  <c:v>90.572390572390873</c:v>
                </c:pt>
                <c:pt idx="284">
                  <c:v>91.245791245791551</c:v>
                </c:pt>
                <c:pt idx="285">
                  <c:v>91.91919191919223</c:v>
                </c:pt>
                <c:pt idx="286">
                  <c:v>92.592592592592908</c:v>
                </c:pt>
                <c:pt idx="287">
                  <c:v>93.265993265993586</c:v>
                </c:pt>
                <c:pt idx="288">
                  <c:v>93.939393939394265</c:v>
                </c:pt>
                <c:pt idx="289">
                  <c:v>94.612794612794943</c:v>
                </c:pt>
                <c:pt idx="290">
                  <c:v>95.286195286195621</c:v>
                </c:pt>
                <c:pt idx="291">
                  <c:v>95.9595959595963</c:v>
                </c:pt>
                <c:pt idx="292">
                  <c:v>96.632996632996978</c:v>
                </c:pt>
                <c:pt idx="293">
                  <c:v>97.306397306397656</c:v>
                </c:pt>
                <c:pt idx="294">
                  <c:v>97.979797979798334</c:v>
                </c:pt>
                <c:pt idx="295">
                  <c:v>98.653198653199013</c:v>
                </c:pt>
                <c:pt idx="296">
                  <c:v>99.326599326599691</c:v>
                </c:pt>
                <c:pt idx="297" formatCode="General">
                  <c:v>100</c:v>
                </c:pt>
              </c:numCache>
            </c:numRef>
          </c:cat>
          <c:val>
            <c:numRef>
              <c:f>'Salida M'!$N$9:$N$306</c:f>
              <c:numCache>
                <c:formatCode>General</c:formatCode>
                <c:ptCount val="2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4.7138047138069794E-2</c:v>
                </c:pt>
                <c:pt idx="269">
                  <c:v>0.11447811447813763</c:v>
                </c:pt>
                <c:pt idx="270">
                  <c:v>0.18181818181820547</c:v>
                </c:pt>
                <c:pt idx="271">
                  <c:v>0.24915824915827328</c:v>
                </c:pt>
                <c:pt idx="272">
                  <c:v>0.31649831649834115</c:v>
                </c:pt>
                <c:pt idx="273">
                  <c:v>0.38383838383840896</c:v>
                </c:pt>
                <c:pt idx="274">
                  <c:v>0.45117845117847677</c:v>
                </c:pt>
                <c:pt idx="275">
                  <c:v>0.51851851851854458</c:v>
                </c:pt>
                <c:pt idx="276">
                  <c:v>0.5858585858586125</c:v>
                </c:pt>
                <c:pt idx="277">
                  <c:v>0.65319865319868031</c:v>
                </c:pt>
                <c:pt idx="278">
                  <c:v>0.72053872053874812</c:v>
                </c:pt>
                <c:pt idx="279">
                  <c:v>0.78787878787881593</c:v>
                </c:pt>
                <c:pt idx="280">
                  <c:v>0.85521885521888374</c:v>
                </c:pt>
                <c:pt idx="281">
                  <c:v>0.92255892255895167</c:v>
                </c:pt>
                <c:pt idx="282">
                  <c:v>0.98989898989901948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CE3-4180-B60E-30715F35B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336048"/>
        <c:axId val="312330560"/>
      </c:lineChart>
      <c:catAx>
        <c:axId val="3123360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0560"/>
        <c:crosses val="autoZero"/>
        <c:auto val="1"/>
        <c:lblAlgn val="ctr"/>
        <c:lblOffset val="100"/>
        <c:tickLblSkip val="33"/>
        <c:tickMarkSkip val="11"/>
        <c:noMultiLvlLbl val="0"/>
      </c:catAx>
      <c:valAx>
        <c:axId val="3123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01596675415571"/>
          <c:y val="9.7552755905511837E-2"/>
          <c:w val="0.11769838145231847"/>
          <c:h val="0.83000524934383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Right = f (P, 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50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375328083989497E-2"/>
          <c:y val="0.12157894736842105"/>
          <c:w val="0.83869133858267719"/>
          <c:h val="0.81534189805221713"/>
        </c:manualLayout>
      </c:layout>
      <c:surface3DChart>
        <c:wireframe val="0"/>
        <c:ser>
          <c:idx val="0"/>
          <c:order val="0"/>
          <c:tx>
            <c:strRef>
              <c:f>'M=f(P,D)'!$M$6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'M=f(P,D)'!$O$6:$V$6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B-4EE4-8D72-F34A4F0FBDB1}"/>
            </c:ext>
          </c:extLst>
        </c:ser>
        <c:ser>
          <c:idx val="1"/>
          <c:order val="1"/>
          <c:tx>
            <c:strRef>
              <c:f>'M=f(P,D)'!$M$7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'M=f(P,D)'!$O$7:$V$7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B-4EE4-8D72-F34A4F0FBDB1}"/>
            </c:ext>
          </c:extLst>
        </c:ser>
        <c:ser>
          <c:idx val="2"/>
          <c:order val="2"/>
          <c:tx>
            <c:strRef>
              <c:f>'M=f(P,D)'!$M$8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'M=f(P,D)'!$O$8:$V$8</c:f>
              <c:numCache>
                <c:formatCode>General</c:formatCode>
                <c:ptCount val="8"/>
                <c:pt idx="0">
                  <c:v>-30</c:v>
                </c:pt>
                <c:pt idx="1">
                  <c:v>27.143999999999902</c:v>
                </c:pt>
                <c:pt idx="2">
                  <c:v>84.287999999999997</c:v>
                </c:pt>
                <c:pt idx="3">
                  <c:v>70.713000000000008</c:v>
                </c:pt>
                <c:pt idx="4">
                  <c:v>42.144999999999996</c:v>
                </c:pt>
                <c:pt idx="5">
                  <c:v>9.048</c:v>
                </c:pt>
                <c:pt idx="6">
                  <c:v>-0.47600000000000098</c:v>
                </c:pt>
                <c:pt idx="7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B-4EE4-8D72-F34A4F0FBDB1}"/>
            </c:ext>
          </c:extLst>
        </c:ser>
        <c:ser>
          <c:idx val="3"/>
          <c:order val="3"/>
          <c:tx>
            <c:strRef>
              <c:f>'M=f(P,D)'!$M$9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'M=f(P,D)'!$O$9:$V$9</c:f>
              <c:numCache>
                <c:formatCode>General</c:formatCode>
                <c:ptCount val="8"/>
                <c:pt idx="0">
                  <c:v>-30</c:v>
                </c:pt>
                <c:pt idx="1">
                  <c:v>26.364214812929397</c:v>
                </c:pt>
                <c:pt idx="2">
                  <c:v>76.959459459459396</c:v>
                </c:pt>
                <c:pt idx="3">
                  <c:v>64.998091117332606</c:v>
                </c:pt>
                <c:pt idx="4">
                  <c:v>30.453677780605698</c:v>
                </c:pt>
                <c:pt idx="5">
                  <c:v>2.1731190650109498</c:v>
                </c:pt>
                <c:pt idx="6">
                  <c:v>-7.5769916009162595</c:v>
                </c:pt>
                <c:pt idx="7">
                  <c:v>-15.7159999999999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B-4EE4-8D72-F34A4F0FBDB1}"/>
            </c:ext>
          </c:extLst>
        </c:ser>
        <c:ser>
          <c:idx val="4"/>
          <c:order val="4"/>
          <c:tx>
            <c:strRef>
              <c:f>'M=f(P,D)'!$M$10</c:f>
              <c:strCache>
                <c:ptCount val="1"/>
                <c:pt idx="0">
                  <c:v>-0.1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'M=f(P,D)'!$O$10:$V$10</c:f>
              <c:numCache>
                <c:formatCode>General</c:formatCode>
                <c:ptCount val="8"/>
                <c:pt idx="0">
                  <c:v>-30</c:v>
                </c:pt>
                <c:pt idx="1">
                  <c:v>14.2440824637312</c:v>
                </c:pt>
                <c:pt idx="2">
                  <c:v>50.874726077428697</c:v>
                </c:pt>
                <c:pt idx="3">
                  <c:v>27.274115551030796</c:v>
                </c:pt>
                <c:pt idx="4">
                  <c:v>-7.2702977856961004</c:v>
                </c:pt>
                <c:pt idx="5">
                  <c:v>-25.215485756026201</c:v>
                </c:pt>
                <c:pt idx="6">
                  <c:v>-29.6958513616696</c:v>
                </c:pt>
                <c:pt idx="7">
                  <c:v>-37.141999999999996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B-4EE4-8D72-F34A4F0FBDB1}"/>
            </c:ext>
          </c:extLst>
        </c:ser>
        <c:ser>
          <c:idx val="5"/>
          <c:order val="5"/>
          <c:tx>
            <c:strRef>
              <c:f>'M=f(P,D)'!$M$11</c:f>
              <c:strCache>
                <c:ptCount val="1"/>
                <c:pt idx="0">
                  <c:v>-0.4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'M=f(P,D)'!$O$11:$V$11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3B-4EE4-8D72-F34A4F0FBDB1}"/>
            </c:ext>
          </c:extLst>
        </c:ser>
        <c:ser>
          <c:idx val="6"/>
          <c:order val="6"/>
          <c:tx>
            <c:strRef>
              <c:f>'M=f(P,D)'!$M$12</c:f>
              <c:strCache>
                <c:ptCount val="1"/>
                <c:pt idx="0">
                  <c:v>-0.7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'M=f(P,D)'!$O$12:$V$12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3B-4EE4-8D72-F34A4F0FBDB1}"/>
            </c:ext>
          </c:extLst>
        </c:ser>
        <c:ser>
          <c:idx val="7"/>
          <c:order val="7"/>
          <c:tx>
            <c:strRef>
              <c:f>'M=f(P,D)'!$M$13</c:f>
              <c:strCache>
                <c:ptCount val="1"/>
                <c:pt idx="0">
                  <c:v>-1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'M=f(P,D)'!$O$13:$V$13</c:f>
              <c:numCache>
                <c:formatCode>General</c:formatCode>
                <c:ptCount val="8"/>
                <c:pt idx="0">
                  <c:v>-30</c:v>
                </c:pt>
                <c:pt idx="1">
                  <c:v>8.0959999999999894</c:v>
                </c:pt>
                <c:pt idx="2">
                  <c:v>46.192</c:v>
                </c:pt>
                <c:pt idx="3">
                  <c:v>11.425999999999901</c:v>
                </c:pt>
                <c:pt idx="4">
                  <c:v>-17.141999999999999</c:v>
                </c:pt>
                <c:pt idx="5">
                  <c:v>-30.475999999999999</c:v>
                </c:pt>
                <c:pt idx="6">
                  <c:v>-35.238</c:v>
                </c:pt>
                <c:pt idx="7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3B-4EE4-8D72-F34A4F0FBDB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2332128"/>
        <c:axId val="312332520"/>
        <c:axId val="313626112"/>
      </c:surface3DChart>
      <c:catAx>
        <c:axId val="31233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520"/>
        <c:crosses val="autoZero"/>
        <c:auto val="1"/>
        <c:lblAlgn val="ctr"/>
        <c:lblOffset val="100"/>
        <c:noMultiLvlLbl val="0"/>
      </c:catAx>
      <c:valAx>
        <c:axId val="312332520"/>
        <c:scaling>
          <c:orientation val="minMax"/>
          <c:max val="100"/>
          <c:min val="-1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128"/>
        <c:crosses val="autoZero"/>
        <c:crossBetween val="midCat"/>
        <c:majorUnit val="40"/>
      </c:valAx>
      <c:serAx>
        <c:axId val="3136261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52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200"/>
              <a:t>Left = f (P, 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50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375328083989497E-2"/>
          <c:y val="0.12157894736842105"/>
          <c:w val="0.83869133858267719"/>
          <c:h val="0.81534189805221713"/>
        </c:manualLayout>
      </c:layout>
      <c:surface3DChart>
        <c:wireframe val="0"/>
        <c:ser>
          <c:idx val="0"/>
          <c:order val="0"/>
          <c:tx>
            <c:strRef>
              <c:f>'M=f(P,D)'!$B$6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'M=f(P,D)'!$D$6:$K$6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6-41C6-B0A3-818A26C4D18C}"/>
            </c:ext>
          </c:extLst>
        </c:ser>
        <c:ser>
          <c:idx val="1"/>
          <c:order val="1"/>
          <c:tx>
            <c:strRef>
              <c:f>'M=f(P,D)'!$B$7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'M=f(P,D)'!$D$7:$K$7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6-41C6-B0A3-818A26C4D18C}"/>
            </c:ext>
          </c:extLst>
        </c:ser>
        <c:ser>
          <c:idx val="2"/>
          <c:order val="2"/>
          <c:tx>
            <c:strRef>
              <c:f>'M=f(P,D)'!$B$8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'M=f(P,D)'!$D$8:$K$8</c:f>
              <c:numCache>
                <c:formatCode>General</c:formatCode>
                <c:ptCount val="8"/>
                <c:pt idx="0">
                  <c:v>-30</c:v>
                </c:pt>
                <c:pt idx="1">
                  <c:v>-58.572000000000003</c:v>
                </c:pt>
                <c:pt idx="2">
                  <c:v>-87.144000000000005</c:v>
                </c:pt>
                <c:pt idx="3">
                  <c:v>-38.568000000000005</c:v>
                </c:pt>
                <c:pt idx="4">
                  <c:v>11.425999999999901</c:v>
                </c:pt>
                <c:pt idx="5">
                  <c:v>50.475999999999999</c:v>
                </c:pt>
                <c:pt idx="6">
                  <c:v>55.238</c:v>
                </c:pt>
                <c:pt idx="7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66-41C6-B0A3-818A26C4D18C}"/>
            </c:ext>
          </c:extLst>
        </c:ser>
        <c:ser>
          <c:idx val="3"/>
          <c:order val="3"/>
          <c:tx>
            <c:strRef>
              <c:f>'M=f(P,D)'!$B$9</c:f>
              <c:strCache>
                <c:ptCount val="1"/>
                <c:pt idx="0">
                  <c:v>0.1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'M=f(P,D)'!$D$9:$K$9</c:f>
              <c:numCache>
                <c:formatCode>General</c:formatCode>
                <c:ptCount val="8"/>
                <c:pt idx="0">
                  <c:v>-30</c:v>
                </c:pt>
                <c:pt idx="1">
                  <c:v>-57.272842962585798</c:v>
                </c:pt>
                <c:pt idx="2">
                  <c:v>-82.174945215485693</c:v>
                </c:pt>
                <c:pt idx="3">
                  <c:v>-33.6332400101807</c:v>
                </c:pt>
                <c:pt idx="4">
                  <c:v>23.637057775515398</c:v>
                </c:pt>
                <c:pt idx="5">
                  <c:v>54.3480642804967</c:v>
                </c:pt>
                <c:pt idx="6">
                  <c:v>60.607024688215802</c:v>
                </c:pt>
                <c:pt idx="7">
                  <c:v>65.715999999999994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66-41C6-B0A3-818A26C4D18C}"/>
            </c:ext>
          </c:extLst>
        </c:ser>
        <c:ser>
          <c:idx val="4"/>
          <c:order val="4"/>
          <c:tx>
            <c:strRef>
              <c:f>'M=f(P,D)'!$B$10</c:f>
              <c:strCache>
                <c:ptCount val="1"/>
                <c:pt idx="0">
                  <c:v>-0.1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'M=f(P,D)'!$D$10:$K$10</c:f>
              <c:numCache>
                <c:formatCode>General</c:formatCode>
                <c:ptCount val="8"/>
                <c:pt idx="0">
                  <c:v>-30</c:v>
                </c:pt>
                <c:pt idx="1">
                  <c:v>-26.9725120895902</c:v>
                </c:pt>
                <c:pt idx="2">
                  <c:v>-16.963111760408999</c:v>
                </c:pt>
                <c:pt idx="3">
                  <c:v>17.723975566301799</c:v>
                </c:pt>
                <c:pt idx="4">
                  <c:v>59.088826673453795</c:v>
                </c:pt>
                <c:pt idx="5">
                  <c:v>75.215485756026297</c:v>
                </c:pt>
                <c:pt idx="6">
                  <c:v>79.695851361669597</c:v>
                </c:pt>
                <c:pt idx="7">
                  <c:v>87.141999999999996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66-41C6-B0A3-818A26C4D18C}"/>
            </c:ext>
          </c:extLst>
        </c:ser>
        <c:ser>
          <c:idx val="5"/>
          <c:order val="5"/>
          <c:tx>
            <c:strRef>
              <c:f>'M=f(P,D)'!$B$11</c:f>
              <c:strCache>
                <c:ptCount val="1"/>
                <c:pt idx="0">
                  <c:v>-0.4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'M=f(P,D)'!$D$11:$K$11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66-41C6-B0A3-818A26C4D18C}"/>
            </c:ext>
          </c:extLst>
        </c:ser>
        <c:ser>
          <c:idx val="6"/>
          <c:order val="6"/>
          <c:tx>
            <c:strRef>
              <c:f>'M=f(P,D)'!$B$12</c:f>
              <c:strCache>
                <c:ptCount val="1"/>
                <c:pt idx="0">
                  <c:v>-0.7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'M=f(P,D)'!$D$12:$K$12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6-41C6-B0A3-818A26C4D18C}"/>
            </c:ext>
          </c:extLst>
        </c:ser>
        <c:ser>
          <c:idx val="7"/>
          <c:order val="7"/>
          <c:tx>
            <c:strRef>
              <c:f>'M=f(P,D)'!$B$13</c:f>
              <c:strCache>
                <c:ptCount val="1"/>
                <c:pt idx="0">
                  <c:v>-1</c:v>
                </c:pt>
              </c:strCache>
            </c:strRef>
          </c:tx>
          <c:cat>
            <c:numRef>
              <c:f>'M=f(P,D)'!$O$15:$V$15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0.4</c:v>
                </c:pt>
                <c:pt idx="3">
                  <c:v>0.1</c:v>
                </c:pt>
                <c:pt idx="4">
                  <c:v>-0.1</c:v>
                </c:pt>
                <c:pt idx="5">
                  <c:v>-0.4</c:v>
                </c:pt>
                <c:pt idx="6">
                  <c:v>-0.7</c:v>
                </c:pt>
                <c:pt idx="7">
                  <c:v>-1</c:v>
                </c:pt>
              </c:numCache>
            </c:numRef>
          </c:cat>
          <c:val>
            <c:numRef>
              <c:f>'M=f(P,D)'!$D$13:$K$13</c:f>
              <c:numCache>
                <c:formatCode>General</c:formatCode>
                <c:ptCount val="8"/>
                <c:pt idx="0">
                  <c:v>-30</c:v>
                </c:pt>
                <c:pt idx="1">
                  <c:v>-10.952</c:v>
                </c:pt>
                <c:pt idx="2">
                  <c:v>8.0960000000000001</c:v>
                </c:pt>
                <c:pt idx="3">
                  <c:v>42.144999999999996</c:v>
                </c:pt>
                <c:pt idx="4">
                  <c:v>67.141999999999996</c:v>
                </c:pt>
                <c:pt idx="5">
                  <c:v>80.475999999999999</c:v>
                </c:pt>
                <c:pt idx="6">
                  <c:v>85.238</c:v>
                </c:pt>
                <c:pt idx="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66-41C6-B0A3-818A26C4D18C}"/>
            </c:ext>
          </c:extLst>
        </c:ser>
        <c:bandFmts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312332912"/>
        <c:axId val="312333304"/>
        <c:axId val="313236664"/>
      </c:surface3DChart>
      <c:catAx>
        <c:axId val="31233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3304"/>
        <c:crosses val="autoZero"/>
        <c:auto val="1"/>
        <c:lblAlgn val="ctr"/>
        <c:lblOffset val="100"/>
        <c:noMultiLvlLbl val="0"/>
      </c:catAx>
      <c:valAx>
        <c:axId val="312333304"/>
        <c:scaling>
          <c:orientation val="minMax"/>
          <c:max val="100"/>
          <c:min val="-10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2912"/>
        <c:crosses val="autoZero"/>
        <c:crossBetween val="midCat"/>
        <c:majorUnit val="40"/>
      </c:valAx>
      <c:serAx>
        <c:axId val="3132366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12333304"/>
        <c:crosses val="autoZero"/>
      </c:serAx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15</xdr:col>
      <xdr:colOff>0</xdr:colOff>
      <xdr:row>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15</xdr:col>
      <xdr:colOff>0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21</xdr:col>
      <xdr:colOff>0</xdr:colOff>
      <xdr:row>23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17</xdr:row>
      <xdr:rowOff>0</xdr:rowOff>
    </xdr:from>
    <xdr:to>
      <xdr:col>20</xdr:col>
      <xdr:colOff>0</xdr:colOff>
      <xdr:row>36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L306"/>
  <sheetViews>
    <sheetView zoomScaleNormal="100" workbookViewId="0">
      <selection activeCell="L4" sqref="L4"/>
    </sheetView>
  </sheetViews>
  <sheetFormatPr baseColWidth="10" defaultColWidth="11.44140625" defaultRowHeight="14.4" x14ac:dyDescent="0.3"/>
  <cols>
    <col min="1" max="1" width="11.44140625" style="1"/>
    <col min="2" max="2" width="11.44140625" style="1" customWidth="1"/>
    <col min="3" max="16384" width="11.44140625" style="1"/>
  </cols>
  <sheetData>
    <row r="2" spans="1:12" x14ac:dyDescent="0.3">
      <c r="C2" s="1" t="s">
        <v>0</v>
      </c>
      <c r="D2" s="1">
        <f>3*(-2)</f>
        <v>-6</v>
      </c>
      <c r="E2" s="1">
        <f>K4*(-2)</f>
        <v>-1</v>
      </c>
      <c r="F2" s="1">
        <f>J4*(-2)</f>
        <v>-0.4</v>
      </c>
      <c r="G2" s="1">
        <v>0</v>
      </c>
      <c r="H2" s="1">
        <f>J4*2</f>
        <v>0.4</v>
      </c>
    </row>
    <row r="3" spans="1:12" x14ac:dyDescent="0.3">
      <c r="C3" s="1" t="s">
        <v>1</v>
      </c>
      <c r="D3" s="1">
        <f>2*(-2)</f>
        <v>-4</v>
      </c>
      <c r="E3" s="1">
        <f>J4*(-2)</f>
        <v>-0.4</v>
      </c>
      <c r="F3" s="1">
        <v>0</v>
      </c>
      <c r="G3" s="1">
        <f>J4*2</f>
        <v>0.4</v>
      </c>
      <c r="H3" s="1">
        <f>K4*2</f>
        <v>1</v>
      </c>
    </row>
    <row r="4" spans="1:12" x14ac:dyDescent="0.3">
      <c r="C4" s="1" t="s">
        <v>2</v>
      </c>
      <c r="D4" s="1">
        <f>K4*(-2)</f>
        <v>-1</v>
      </c>
      <c r="E4" s="1">
        <f>J4*(-2)</f>
        <v>-0.4</v>
      </c>
      <c r="F4" s="1">
        <v>0</v>
      </c>
      <c r="G4" s="1">
        <f>J4*2</f>
        <v>0.4</v>
      </c>
      <c r="H4" s="1">
        <f>2*(2)</f>
        <v>4</v>
      </c>
      <c r="J4" s="1">
        <v>0.2</v>
      </c>
      <c r="K4" s="1">
        <v>0.5</v>
      </c>
      <c r="L4" s="1">
        <v>-0.9932659932659933</v>
      </c>
    </row>
    <row r="5" spans="1:12" x14ac:dyDescent="0.3">
      <c r="C5" s="1" t="s">
        <v>3</v>
      </c>
      <c r="D5" s="1">
        <f>J4*(-2)</f>
        <v>-0.4</v>
      </c>
      <c r="E5" s="1">
        <v>0</v>
      </c>
      <c r="F5" s="1">
        <f>J4*2</f>
        <v>0.4</v>
      </c>
      <c r="G5" s="1">
        <f>K4*2</f>
        <v>1</v>
      </c>
      <c r="H5" s="1">
        <f>3*(2)</f>
        <v>6</v>
      </c>
      <c r="J5" s="1" t="s">
        <v>17</v>
      </c>
      <c r="K5" s="1" t="s">
        <v>10</v>
      </c>
    </row>
    <row r="7" spans="1:12" x14ac:dyDescent="0.3">
      <c r="B7" s="1" t="s">
        <v>15</v>
      </c>
      <c r="D7" s="1" t="s">
        <v>5</v>
      </c>
      <c r="E7" s="1" t="s">
        <v>6</v>
      </c>
      <c r="F7" s="1" t="s">
        <v>4</v>
      </c>
      <c r="G7" s="1" t="s">
        <v>7</v>
      </c>
      <c r="H7" s="1" t="s">
        <v>8</v>
      </c>
    </row>
    <row r="9" spans="1:12" x14ac:dyDescent="0.3">
      <c r="A9" s="2">
        <v>0</v>
      </c>
      <c r="B9" s="1">
        <v>-1</v>
      </c>
      <c r="D9" s="8">
        <f>IF($B9&gt;D$5,0,IF($B9&gt;D$4,(D$5-$B9)/(D$5-D$4),IF($B9&gt;D$3,1,IF($B9&gt;D$2,($B9-D$2)/(D$3-D$2),0))))</f>
        <v>1</v>
      </c>
      <c r="E9" s="1">
        <f t="shared" ref="E9:H9" si="0">IF($B9&gt;E$5,0,IF($B9&gt;E$4,(E$5-$B9)/(E$5-E$4),IF($B9&gt;E$3,1,IF($B9&gt;E$2,($B9-E$2)/(E$3-E$2),0))))</f>
        <v>0</v>
      </c>
      <c r="F9" s="1">
        <f t="shared" si="0"/>
        <v>0</v>
      </c>
      <c r="G9" s="1">
        <f t="shared" si="0"/>
        <v>0</v>
      </c>
      <c r="H9" s="1">
        <f t="shared" si="0"/>
        <v>0</v>
      </c>
    </row>
    <row r="10" spans="1:12" x14ac:dyDescent="0.3">
      <c r="A10" s="2">
        <v>1</v>
      </c>
      <c r="B10" s="3">
        <f>B9+((B$306-B$9)/297)</f>
        <v>-0.9932659932659933</v>
      </c>
      <c r="D10" s="8">
        <f t="shared" ref="D10:H73" si="1">IF($B10&gt;D$5,0,IF($B10&gt;D$4,(D$5-$B10)/(D$5-D$4),IF($B10&gt;D$3,1,IF($B10&gt;D$2,($B10-D$2)/(D$3-D$2),0))))</f>
        <v>0.98877665544332216</v>
      </c>
      <c r="E10" s="1">
        <f t="shared" si="1"/>
        <v>1.1223344556677839E-2</v>
      </c>
      <c r="F10" s="1">
        <f t="shared" si="1"/>
        <v>0</v>
      </c>
      <c r="G10" s="1">
        <f t="shared" si="1"/>
        <v>0</v>
      </c>
      <c r="H10" s="1">
        <f t="shared" si="1"/>
        <v>0</v>
      </c>
    </row>
    <row r="11" spans="1:12" x14ac:dyDescent="0.3">
      <c r="A11" s="2">
        <v>2</v>
      </c>
      <c r="B11" s="3">
        <f t="shared" ref="B11:B74" si="2">B10+((B$306-B$9)/297)</f>
        <v>-0.98653198653198659</v>
      </c>
      <c r="D11" s="8">
        <f t="shared" si="1"/>
        <v>0.97755331088664432</v>
      </c>
      <c r="E11" s="1">
        <f t="shared" si="1"/>
        <v>2.2446689113355678E-2</v>
      </c>
      <c r="F11" s="1">
        <f t="shared" si="1"/>
        <v>0</v>
      </c>
      <c r="G11" s="1">
        <f t="shared" si="1"/>
        <v>0</v>
      </c>
      <c r="H11" s="1">
        <f t="shared" si="1"/>
        <v>0</v>
      </c>
    </row>
    <row r="12" spans="1:12" x14ac:dyDescent="0.3">
      <c r="A12" s="2">
        <v>3</v>
      </c>
      <c r="B12" s="3">
        <f t="shared" si="2"/>
        <v>-0.97979797979797989</v>
      </c>
      <c r="D12" s="8">
        <f t="shared" si="1"/>
        <v>0.96632996632996648</v>
      </c>
      <c r="E12" s="1">
        <f t="shared" si="1"/>
        <v>3.3670033670033517E-2</v>
      </c>
      <c r="F12" s="1">
        <f t="shared" si="1"/>
        <v>0</v>
      </c>
      <c r="G12" s="1">
        <f t="shared" si="1"/>
        <v>0</v>
      </c>
      <c r="H12" s="1">
        <f t="shared" si="1"/>
        <v>0</v>
      </c>
    </row>
    <row r="13" spans="1:12" x14ac:dyDescent="0.3">
      <c r="A13" s="2">
        <v>4</v>
      </c>
      <c r="B13" s="3">
        <f t="shared" si="2"/>
        <v>-0.97306397306397319</v>
      </c>
      <c r="D13" s="8">
        <f t="shared" si="1"/>
        <v>0.95510662177328864</v>
      </c>
      <c r="E13" s="1">
        <f t="shared" si="1"/>
        <v>4.4893378226711356E-2</v>
      </c>
      <c r="F13" s="1">
        <f t="shared" si="1"/>
        <v>0</v>
      </c>
      <c r="G13" s="1">
        <f t="shared" si="1"/>
        <v>0</v>
      </c>
      <c r="H13" s="1">
        <f t="shared" si="1"/>
        <v>0</v>
      </c>
    </row>
    <row r="14" spans="1:12" x14ac:dyDescent="0.3">
      <c r="A14" s="2">
        <v>5</v>
      </c>
      <c r="B14" s="3">
        <f t="shared" si="2"/>
        <v>-0.96632996632996648</v>
      </c>
      <c r="D14" s="8">
        <f t="shared" si="1"/>
        <v>0.94388327721661081</v>
      </c>
      <c r="E14" s="1">
        <f t="shared" si="1"/>
        <v>5.6116722783389195E-2</v>
      </c>
      <c r="F14" s="1">
        <f t="shared" si="1"/>
        <v>0</v>
      </c>
      <c r="G14" s="1">
        <f t="shared" si="1"/>
        <v>0</v>
      </c>
      <c r="H14" s="1">
        <f t="shared" si="1"/>
        <v>0</v>
      </c>
    </row>
    <row r="15" spans="1:12" x14ac:dyDescent="0.3">
      <c r="A15" s="2">
        <v>6</v>
      </c>
      <c r="B15" s="3">
        <f t="shared" si="2"/>
        <v>-0.95959595959595978</v>
      </c>
      <c r="D15" s="8">
        <f t="shared" si="1"/>
        <v>0.93265993265993297</v>
      </c>
      <c r="E15" s="1">
        <f t="shared" si="1"/>
        <v>6.7340067340067034E-2</v>
      </c>
      <c r="F15" s="1">
        <f t="shared" si="1"/>
        <v>0</v>
      </c>
      <c r="G15" s="1">
        <f t="shared" si="1"/>
        <v>0</v>
      </c>
      <c r="H15" s="1">
        <f t="shared" si="1"/>
        <v>0</v>
      </c>
    </row>
    <row r="16" spans="1:12" x14ac:dyDescent="0.3">
      <c r="A16" s="2">
        <v>7</v>
      </c>
      <c r="B16" s="3">
        <f t="shared" si="2"/>
        <v>-0.95286195286195308</v>
      </c>
      <c r="D16" s="8">
        <f t="shared" si="1"/>
        <v>0.92143658810325513</v>
      </c>
      <c r="E16" s="1">
        <f t="shared" si="1"/>
        <v>7.8563411896744872E-2</v>
      </c>
      <c r="F16" s="1">
        <f t="shared" si="1"/>
        <v>0</v>
      </c>
      <c r="G16" s="1">
        <f t="shared" si="1"/>
        <v>0</v>
      </c>
      <c r="H16" s="1">
        <f t="shared" si="1"/>
        <v>0</v>
      </c>
    </row>
    <row r="17" spans="1:12" x14ac:dyDescent="0.3">
      <c r="A17" s="2">
        <v>8</v>
      </c>
      <c r="B17" s="3">
        <f t="shared" si="2"/>
        <v>-0.94612794612794637</v>
      </c>
      <c r="D17" s="8">
        <f t="shared" si="1"/>
        <v>0.91021324354657729</v>
      </c>
      <c r="E17" s="1">
        <f t="shared" si="1"/>
        <v>8.9786756453422711E-2</v>
      </c>
      <c r="F17" s="1">
        <f t="shared" si="1"/>
        <v>0</v>
      </c>
      <c r="G17" s="1">
        <f t="shared" si="1"/>
        <v>0</v>
      </c>
      <c r="H17" s="1">
        <f t="shared" si="1"/>
        <v>0</v>
      </c>
    </row>
    <row r="18" spans="1:12" x14ac:dyDescent="0.3">
      <c r="A18" s="2">
        <v>9</v>
      </c>
      <c r="B18" s="3">
        <f t="shared" si="2"/>
        <v>-0.93939393939393967</v>
      </c>
      <c r="D18" s="8">
        <f t="shared" si="1"/>
        <v>0.89898989898989945</v>
      </c>
      <c r="E18" s="1">
        <f t="shared" si="1"/>
        <v>0.10101010101010055</v>
      </c>
      <c r="F18" s="1">
        <f t="shared" si="1"/>
        <v>0</v>
      </c>
      <c r="G18" s="1">
        <f t="shared" si="1"/>
        <v>0</v>
      </c>
      <c r="H18" s="1">
        <f t="shared" si="1"/>
        <v>0</v>
      </c>
    </row>
    <row r="19" spans="1:12" x14ac:dyDescent="0.3">
      <c r="A19" s="2">
        <v>10</v>
      </c>
      <c r="B19" s="3">
        <f t="shared" si="2"/>
        <v>-0.93265993265993297</v>
      </c>
      <c r="D19" s="8">
        <f t="shared" si="1"/>
        <v>0.88776655443322161</v>
      </c>
      <c r="E19" s="1">
        <f t="shared" si="1"/>
        <v>0.11223344556677839</v>
      </c>
      <c r="F19" s="1">
        <f t="shared" si="1"/>
        <v>0</v>
      </c>
      <c r="G19" s="1">
        <f t="shared" si="1"/>
        <v>0</v>
      </c>
      <c r="H19" s="1">
        <f t="shared" si="1"/>
        <v>0</v>
      </c>
    </row>
    <row r="20" spans="1:12" x14ac:dyDescent="0.3">
      <c r="A20" s="2">
        <v>11</v>
      </c>
      <c r="B20" s="3">
        <f t="shared" si="2"/>
        <v>-0.92592592592592626</v>
      </c>
      <c r="D20" s="8">
        <f t="shared" si="1"/>
        <v>0.87654320987654377</v>
      </c>
      <c r="E20" s="1">
        <f t="shared" si="1"/>
        <v>0.12345679012345623</v>
      </c>
      <c r="F20" s="1">
        <f t="shared" si="1"/>
        <v>0</v>
      </c>
      <c r="G20" s="1">
        <f t="shared" si="1"/>
        <v>0</v>
      </c>
      <c r="H20" s="1">
        <f t="shared" si="1"/>
        <v>0</v>
      </c>
    </row>
    <row r="21" spans="1:12" x14ac:dyDescent="0.3">
      <c r="A21" s="2">
        <v>12</v>
      </c>
      <c r="B21" s="3">
        <f t="shared" si="2"/>
        <v>-0.91919191919191956</v>
      </c>
      <c r="D21" s="8">
        <f t="shared" si="1"/>
        <v>0.86531986531986593</v>
      </c>
      <c r="E21" s="1">
        <f t="shared" si="1"/>
        <v>0.13468013468013407</v>
      </c>
      <c r="F21" s="1">
        <f t="shared" si="1"/>
        <v>0</v>
      </c>
      <c r="G21" s="1">
        <f t="shared" si="1"/>
        <v>0</v>
      </c>
      <c r="H21" s="1">
        <f t="shared" si="1"/>
        <v>0</v>
      </c>
    </row>
    <row r="22" spans="1:12" x14ac:dyDescent="0.3">
      <c r="A22" s="2">
        <v>13</v>
      </c>
      <c r="B22" s="3">
        <f t="shared" si="2"/>
        <v>-0.91245791245791286</v>
      </c>
      <c r="D22" s="8">
        <f t="shared" si="1"/>
        <v>0.85409652076318809</v>
      </c>
      <c r="E22" s="1">
        <f t="shared" si="1"/>
        <v>0.14590347923681191</v>
      </c>
      <c r="F22" s="1">
        <f t="shared" si="1"/>
        <v>0</v>
      </c>
      <c r="G22" s="1">
        <f t="shared" si="1"/>
        <v>0</v>
      </c>
      <c r="H22" s="1">
        <f t="shared" si="1"/>
        <v>0</v>
      </c>
    </row>
    <row r="23" spans="1:12" x14ac:dyDescent="0.3">
      <c r="A23" s="2">
        <v>14</v>
      </c>
      <c r="B23" s="3">
        <f t="shared" si="2"/>
        <v>-0.90572390572390615</v>
      </c>
      <c r="D23" s="8">
        <f t="shared" si="1"/>
        <v>0.84287317620651026</v>
      </c>
      <c r="E23" s="1">
        <f t="shared" si="1"/>
        <v>0.15712682379348974</v>
      </c>
      <c r="F23" s="1">
        <f t="shared" si="1"/>
        <v>0</v>
      </c>
      <c r="G23" s="1">
        <f t="shared" si="1"/>
        <v>0</v>
      </c>
      <c r="H23" s="1">
        <f t="shared" si="1"/>
        <v>0</v>
      </c>
    </row>
    <row r="24" spans="1:12" x14ac:dyDescent="0.3">
      <c r="A24" s="2">
        <v>15</v>
      </c>
      <c r="B24" s="3">
        <f t="shared" si="2"/>
        <v>-0.89898989898989945</v>
      </c>
      <c r="D24" s="8">
        <f t="shared" si="1"/>
        <v>0.83164983164983242</v>
      </c>
      <c r="E24" s="1">
        <f t="shared" si="1"/>
        <v>0.16835016835016758</v>
      </c>
      <c r="F24" s="1">
        <f t="shared" si="1"/>
        <v>0</v>
      </c>
      <c r="G24" s="1">
        <f t="shared" si="1"/>
        <v>0</v>
      </c>
      <c r="H24" s="1">
        <f t="shared" si="1"/>
        <v>0</v>
      </c>
    </row>
    <row r="25" spans="1:12" x14ac:dyDescent="0.3">
      <c r="A25" s="2">
        <v>16</v>
      </c>
      <c r="B25" s="3">
        <f t="shared" si="2"/>
        <v>-0.89225589225589275</v>
      </c>
      <c r="D25" s="8">
        <f t="shared" si="1"/>
        <v>0.82042648709315458</v>
      </c>
      <c r="E25" s="1">
        <f t="shared" si="1"/>
        <v>0.17957351290684542</v>
      </c>
      <c r="F25" s="1">
        <f t="shared" si="1"/>
        <v>0</v>
      </c>
      <c r="G25" s="1">
        <f t="shared" si="1"/>
        <v>0</v>
      </c>
      <c r="H25" s="1">
        <f t="shared" si="1"/>
        <v>0</v>
      </c>
    </row>
    <row r="26" spans="1:12" x14ac:dyDescent="0.3">
      <c r="A26" s="2">
        <v>17</v>
      </c>
      <c r="B26" s="3">
        <f t="shared" si="2"/>
        <v>-0.88552188552188604</v>
      </c>
      <c r="D26" s="8">
        <f t="shared" si="1"/>
        <v>0.80920314253647674</v>
      </c>
      <c r="E26" s="1">
        <f t="shared" si="1"/>
        <v>0.19079685746352326</v>
      </c>
      <c r="F26" s="1">
        <f t="shared" si="1"/>
        <v>0</v>
      </c>
      <c r="G26" s="1">
        <f t="shared" si="1"/>
        <v>0</v>
      </c>
      <c r="H26" s="1">
        <f t="shared" si="1"/>
        <v>0</v>
      </c>
      <c r="J26" s="1">
        <v>-1</v>
      </c>
      <c r="K26" s="1">
        <v>-0.89</v>
      </c>
      <c r="L26" s="6" t="s">
        <v>22</v>
      </c>
    </row>
    <row r="27" spans="1:12" x14ac:dyDescent="0.3">
      <c r="A27" s="2">
        <v>18</v>
      </c>
      <c r="B27" s="3">
        <f t="shared" si="2"/>
        <v>-0.87878787878787934</v>
      </c>
      <c r="D27" s="1">
        <f t="shared" si="1"/>
        <v>0.7979797979797989</v>
      </c>
      <c r="E27" s="1">
        <f t="shared" si="1"/>
        <v>0.2020202020202011</v>
      </c>
      <c r="F27" s="1">
        <f t="shared" si="1"/>
        <v>0</v>
      </c>
      <c r="G27" s="1">
        <f t="shared" si="1"/>
        <v>0</v>
      </c>
      <c r="H27" s="1">
        <f t="shared" si="1"/>
        <v>0</v>
      </c>
      <c r="J27" s="1">
        <v>-0.52</v>
      </c>
      <c r="K27" s="1">
        <v>-0.33</v>
      </c>
      <c r="L27" s="6" t="s">
        <v>23</v>
      </c>
    </row>
    <row r="28" spans="1:12" x14ac:dyDescent="0.3">
      <c r="A28" s="2">
        <v>19</v>
      </c>
      <c r="B28" s="3">
        <f t="shared" si="2"/>
        <v>-0.87205387205387264</v>
      </c>
      <c r="D28" s="1">
        <f t="shared" si="1"/>
        <v>0.78675645342312106</v>
      </c>
      <c r="E28" s="1">
        <f t="shared" si="1"/>
        <v>0.21324354657687894</v>
      </c>
      <c r="F28" s="1">
        <f t="shared" si="1"/>
        <v>0</v>
      </c>
      <c r="G28" s="1">
        <f t="shared" si="1"/>
        <v>0</v>
      </c>
      <c r="H28" s="1">
        <f t="shared" si="1"/>
        <v>0</v>
      </c>
      <c r="J28" s="1">
        <v>-0.08</v>
      </c>
      <c r="K28" s="1">
        <v>0.08</v>
      </c>
      <c r="L28" s="6" t="s">
        <v>26</v>
      </c>
    </row>
    <row r="29" spans="1:12" x14ac:dyDescent="0.3">
      <c r="A29" s="2">
        <v>20</v>
      </c>
      <c r="B29" s="3">
        <f t="shared" si="2"/>
        <v>-0.86531986531986593</v>
      </c>
      <c r="D29" s="1">
        <f t="shared" si="1"/>
        <v>0.77553310886644322</v>
      </c>
      <c r="E29" s="1">
        <f t="shared" si="1"/>
        <v>0.22446689113355678</v>
      </c>
      <c r="F29" s="1">
        <f t="shared" si="1"/>
        <v>0</v>
      </c>
      <c r="G29" s="1">
        <f t="shared" si="1"/>
        <v>0</v>
      </c>
      <c r="H29" s="1">
        <f t="shared" si="1"/>
        <v>0</v>
      </c>
      <c r="J29" s="1">
        <v>0.33</v>
      </c>
      <c r="K29" s="1">
        <v>0.52</v>
      </c>
      <c r="L29" s="6" t="s">
        <v>24</v>
      </c>
    </row>
    <row r="30" spans="1:12" x14ac:dyDescent="0.3">
      <c r="A30" s="2">
        <v>21</v>
      </c>
      <c r="B30" s="3">
        <f t="shared" si="2"/>
        <v>-0.85858585858585923</v>
      </c>
      <c r="D30" s="1">
        <f t="shared" si="1"/>
        <v>0.76430976430976538</v>
      </c>
      <c r="E30" s="1">
        <f t="shared" si="1"/>
        <v>0.23569023569023462</v>
      </c>
      <c r="F30" s="1">
        <f t="shared" si="1"/>
        <v>0</v>
      </c>
      <c r="G30" s="1">
        <f t="shared" si="1"/>
        <v>0</v>
      </c>
      <c r="H30" s="1">
        <f t="shared" si="1"/>
        <v>0</v>
      </c>
      <c r="J30" s="1">
        <v>0.89</v>
      </c>
      <c r="K30" s="1">
        <v>1</v>
      </c>
      <c r="L30" s="6" t="s">
        <v>25</v>
      </c>
    </row>
    <row r="31" spans="1:12" x14ac:dyDescent="0.3">
      <c r="A31" s="2">
        <v>22</v>
      </c>
      <c r="B31" s="3">
        <f t="shared" si="2"/>
        <v>-0.85185185185185253</v>
      </c>
      <c r="D31" s="1">
        <f t="shared" si="1"/>
        <v>0.75308641975308754</v>
      </c>
      <c r="E31" s="1">
        <f t="shared" si="1"/>
        <v>0.24691358024691246</v>
      </c>
      <c r="F31" s="1">
        <f t="shared" si="1"/>
        <v>0</v>
      </c>
      <c r="G31" s="1">
        <f t="shared" si="1"/>
        <v>0</v>
      </c>
      <c r="H31" s="1">
        <f t="shared" si="1"/>
        <v>0</v>
      </c>
    </row>
    <row r="32" spans="1:12" x14ac:dyDescent="0.3">
      <c r="A32" s="2">
        <v>23</v>
      </c>
      <c r="B32" s="3">
        <f t="shared" si="2"/>
        <v>-0.84511784511784582</v>
      </c>
      <c r="D32" s="1">
        <f t="shared" si="1"/>
        <v>0.7418630751964097</v>
      </c>
      <c r="E32" s="1">
        <f t="shared" si="1"/>
        <v>0.2581369248035903</v>
      </c>
      <c r="F32" s="1">
        <f t="shared" si="1"/>
        <v>0</v>
      </c>
      <c r="G32" s="1">
        <f t="shared" si="1"/>
        <v>0</v>
      </c>
      <c r="H32" s="1">
        <f t="shared" si="1"/>
        <v>0</v>
      </c>
    </row>
    <row r="33" spans="1:8" x14ac:dyDescent="0.3">
      <c r="A33" s="2">
        <v>24</v>
      </c>
      <c r="B33" s="3">
        <f t="shared" si="2"/>
        <v>-0.83838383838383912</v>
      </c>
      <c r="D33" s="1">
        <f t="shared" si="1"/>
        <v>0.73063973063973187</v>
      </c>
      <c r="E33" s="1">
        <f t="shared" si="1"/>
        <v>0.26936026936026813</v>
      </c>
      <c r="F33" s="1">
        <f t="shared" si="1"/>
        <v>0</v>
      </c>
      <c r="G33" s="1">
        <f t="shared" si="1"/>
        <v>0</v>
      </c>
      <c r="H33" s="1">
        <f t="shared" si="1"/>
        <v>0</v>
      </c>
    </row>
    <row r="34" spans="1:8" x14ac:dyDescent="0.3">
      <c r="A34" s="2">
        <v>25</v>
      </c>
      <c r="B34" s="3">
        <f t="shared" si="2"/>
        <v>-0.83164983164983242</v>
      </c>
      <c r="D34" s="1">
        <f t="shared" si="1"/>
        <v>0.71941638608305403</v>
      </c>
      <c r="E34" s="1">
        <f t="shared" si="1"/>
        <v>0.28058361391694597</v>
      </c>
      <c r="F34" s="1">
        <f t="shared" si="1"/>
        <v>0</v>
      </c>
      <c r="G34" s="1">
        <f t="shared" si="1"/>
        <v>0</v>
      </c>
      <c r="H34" s="1">
        <f t="shared" si="1"/>
        <v>0</v>
      </c>
    </row>
    <row r="35" spans="1:8" x14ac:dyDescent="0.3">
      <c r="A35" s="2">
        <v>26</v>
      </c>
      <c r="B35" s="3">
        <f t="shared" si="2"/>
        <v>-0.82491582491582571</v>
      </c>
      <c r="D35" s="1">
        <f t="shared" si="1"/>
        <v>0.70819304152637619</v>
      </c>
      <c r="E35" s="1">
        <f t="shared" si="1"/>
        <v>0.29180695847362381</v>
      </c>
      <c r="F35" s="1">
        <f t="shared" si="1"/>
        <v>0</v>
      </c>
      <c r="G35" s="1">
        <f t="shared" si="1"/>
        <v>0</v>
      </c>
      <c r="H35" s="1">
        <f t="shared" si="1"/>
        <v>0</v>
      </c>
    </row>
    <row r="36" spans="1:8" x14ac:dyDescent="0.3">
      <c r="A36" s="2">
        <v>27</v>
      </c>
      <c r="B36" s="3">
        <f t="shared" si="2"/>
        <v>-0.81818181818181901</v>
      </c>
      <c r="D36" s="1">
        <f t="shared" si="1"/>
        <v>0.69696969696969835</v>
      </c>
      <c r="E36" s="1">
        <f t="shared" si="1"/>
        <v>0.30303030303030165</v>
      </c>
      <c r="F36" s="1">
        <f t="shared" si="1"/>
        <v>0</v>
      </c>
      <c r="G36" s="1">
        <f t="shared" si="1"/>
        <v>0</v>
      </c>
      <c r="H36" s="1">
        <f t="shared" si="1"/>
        <v>0</v>
      </c>
    </row>
    <row r="37" spans="1:8" x14ac:dyDescent="0.3">
      <c r="A37" s="2">
        <v>28</v>
      </c>
      <c r="B37" s="3">
        <f t="shared" si="2"/>
        <v>-0.81144781144781231</v>
      </c>
      <c r="D37" s="1">
        <f t="shared" si="1"/>
        <v>0.68574635241302051</v>
      </c>
      <c r="E37" s="1">
        <f t="shared" si="1"/>
        <v>0.31425364758697949</v>
      </c>
      <c r="F37" s="1">
        <f t="shared" si="1"/>
        <v>0</v>
      </c>
      <c r="G37" s="1">
        <f t="shared" si="1"/>
        <v>0</v>
      </c>
      <c r="H37" s="1">
        <f t="shared" si="1"/>
        <v>0</v>
      </c>
    </row>
    <row r="38" spans="1:8" x14ac:dyDescent="0.3">
      <c r="A38" s="2">
        <v>29</v>
      </c>
      <c r="B38" s="3">
        <f t="shared" si="2"/>
        <v>-0.8047138047138056</v>
      </c>
      <c r="D38" s="1">
        <f t="shared" si="1"/>
        <v>0.67452300785634267</v>
      </c>
      <c r="E38" s="1">
        <f t="shared" si="1"/>
        <v>0.32547699214365733</v>
      </c>
      <c r="F38" s="1">
        <f t="shared" si="1"/>
        <v>0</v>
      </c>
      <c r="G38" s="1">
        <f t="shared" si="1"/>
        <v>0</v>
      </c>
      <c r="H38" s="1">
        <f t="shared" si="1"/>
        <v>0</v>
      </c>
    </row>
    <row r="39" spans="1:8" x14ac:dyDescent="0.3">
      <c r="A39" s="2">
        <v>30</v>
      </c>
      <c r="B39" s="3">
        <f t="shared" si="2"/>
        <v>-0.7979797979797989</v>
      </c>
      <c r="D39" s="1">
        <f t="shared" si="1"/>
        <v>0.66329966329966483</v>
      </c>
      <c r="E39" s="1">
        <f t="shared" si="1"/>
        <v>0.33670033670033517</v>
      </c>
      <c r="F39" s="1">
        <f t="shared" si="1"/>
        <v>0</v>
      </c>
      <c r="G39" s="1">
        <f t="shared" si="1"/>
        <v>0</v>
      </c>
      <c r="H39" s="1">
        <f t="shared" si="1"/>
        <v>0</v>
      </c>
    </row>
    <row r="40" spans="1:8" x14ac:dyDescent="0.3">
      <c r="A40" s="2">
        <v>31</v>
      </c>
      <c r="B40" s="3">
        <f t="shared" si="2"/>
        <v>-0.7912457912457922</v>
      </c>
      <c r="D40" s="1">
        <f t="shared" si="1"/>
        <v>0.65207631874298699</v>
      </c>
      <c r="E40" s="1">
        <f t="shared" si="1"/>
        <v>0.34792368125701301</v>
      </c>
      <c r="F40" s="1">
        <f t="shared" si="1"/>
        <v>0</v>
      </c>
      <c r="G40" s="1">
        <f t="shared" si="1"/>
        <v>0</v>
      </c>
      <c r="H40" s="1">
        <f t="shared" si="1"/>
        <v>0</v>
      </c>
    </row>
    <row r="41" spans="1:8" x14ac:dyDescent="0.3">
      <c r="A41" s="2">
        <v>32</v>
      </c>
      <c r="B41" s="3">
        <f t="shared" si="2"/>
        <v>-0.78451178451178549</v>
      </c>
      <c r="D41" s="1">
        <f t="shared" si="1"/>
        <v>0.64085297418630915</v>
      </c>
      <c r="E41" s="1">
        <f t="shared" si="1"/>
        <v>0.35914702581369085</v>
      </c>
      <c r="F41" s="1">
        <f t="shared" si="1"/>
        <v>0</v>
      </c>
      <c r="G41" s="1">
        <f t="shared" si="1"/>
        <v>0</v>
      </c>
      <c r="H41" s="1">
        <f t="shared" si="1"/>
        <v>0</v>
      </c>
    </row>
    <row r="42" spans="1:8" x14ac:dyDescent="0.3">
      <c r="A42" s="2">
        <v>33</v>
      </c>
      <c r="B42" s="3">
        <f t="shared" si="2"/>
        <v>-0.77777777777777879</v>
      </c>
      <c r="D42" s="1">
        <f t="shared" si="1"/>
        <v>0.62962962962963132</v>
      </c>
      <c r="E42" s="1">
        <f t="shared" si="1"/>
        <v>0.37037037037036868</v>
      </c>
      <c r="F42" s="1">
        <f t="shared" si="1"/>
        <v>0</v>
      </c>
      <c r="G42" s="1">
        <f t="shared" si="1"/>
        <v>0</v>
      </c>
      <c r="H42" s="1">
        <f t="shared" si="1"/>
        <v>0</v>
      </c>
    </row>
    <row r="43" spans="1:8" x14ac:dyDescent="0.3">
      <c r="A43" s="2">
        <v>34</v>
      </c>
      <c r="B43" s="3">
        <f t="shared" si="2"/>
        <v>-0.77104377104377209</v>
      </c>
      <c r="D43" s="1">
        <f t="shared" si="1"/>
        <v>0.61840628507295348</v>
      </c>
      <c r="E43" s="1">
        <f t="shared" si="1"/>
        <v>0.38159371492704652</v>
      </c>
      <c r="F43" s="1">
        <f t="shared" si="1"/>
        <v>0</v>
      </c>
      <c r="G43" s="1">
        <f t="shared" si="1"/>
        <v>0</v>
      </c>
      <c r="H43" s="1">
        <f t="shared" si="1"/>
        <v>0</v>
      </c>
    </row>
    <row r="44" spans="1:8" x14ac:dyDescent="0.3">
      <c r="A44" s="2">
        <v>35</v>
      </c>
      <c r="B44" s="3">
        <f t="shared" si="2"/>
        <v>-0.76430976430976538</v>
      </c>
      <c r="D44" s="1">
        <f t="shared" si="1"/>
        <v>0.60718294051627564</v>
      </c>
      <c r="E44" s="1">
        <f t="shared" si="1"/>
        <v>0.39281705948372436</v>
      </c>
      <c r="F44" s="1">
        <f t="shared" si="1"/>
        <v>0</v>
      </c>
      <c r="G44" s="1">
        <f t="shared" si="1"/>
        <v>0</v>
      </c>
      <c r="H44" s="1">
        <f t="shared" si="1"/>
        <v>0</v>
      </c>
    </row>
    <row r="45" spans="1:8" x14ac:dyDescent="0.3">
      <c r="A45" s="2">
        <v>36</v>
      </c>
      <c r="B45" s="3">
        <f t="shared" si="2"/>
        <v>-0.75757575757575868</v>
      </c>
      <c r="D45" s="1">
        <f t="shared" si="1"/>
        <v>0.5959595959595978</v>
      </c>
      <c r="E45" s="1">
        <f t="shared" si="1"/>
        <v>0.4040404040404022</v>
      </c>
      <c r="F45" s="1">
        <f t="shared" si="1"/>
        <v>0</v>
      </c>
      <c r="G45" s="1">
        <f t="shared" si="1"/>
        <v>0</v>
      </c>
      <c r="H45" s="1">
        <f t="shared" si="1"/>
        <v>0</v>
      </c>
    </row>
    <row r="46" spans="1:8" x14ac:dyDescent="0.3">
      <c r="A46" s="2">
        <v>37</v>
      </c>
      <c r="B46" s="3">
        <f t="shared" si="2"/>
        <v>-0.75084175084175198</v>
      </c>
      <c r="D46" s="1">
        <f t="shared" si="1"/>
        <v>0.58473625140291996</v>
      </c>
      <c r="E46" s="1">
        <f t="shared" si="1"/>
        <v>0.41526374859708004</v>
      </c>
      <c r="F46" s="1">
        <f t="shared" si="1"/>
        <v>0</v>
      </c>
      <c r="G46" s="1">
        <f t="shared" si="1"/>
        <v>0</v>
      </c>
      <c r="H46" s="1">
        <f t="shared" si="1"/>
        <v>0</v>
      </c>
    </row>
    <row r="47" spans="1:8" x14ac:dyDescent="0.3">
      <c r="A47" s="2">
        <v>38</v>
      </c>
      <c r="B47" s="3">
        <f t="shared" si="2"/>
        <v>-0.74410774410774527</v>
      </c>
      <c r="D47" s="1">
        <f t="shared" si="1"/>
        <v>0.57351290684624212</v>
      </c>
      <c r="E47" s="1">
        <f t="shared" si="1"/>
        <v>0.42648709315375788</v>
      </c>
      <c r="F47" s="1">
        <f t="shared" si="1"/>
        <v>0</v>
      </c>
      <c r="G47" s="1">
        <f t="shared" si="1"/>
        <v>0</v>
      </c>
      <c r="H47" s="1">
        <f t="shared" si="1"/>
        <v>0</v>
      </c>
    </row>
    <row r="48" spans="1:8" x14ac:dyDescent="0.3">
      <c r="A48" s="2">
        <v>39</v>
      </c>
      <c r="B48" s="3">
        <f t="shared" si="2"/>
        <v>-0.73737373737373857</v>
      </c>
      <c r="D48" s="1">
        <f t="shared" si="1"/>
        <v>0.56228956228956428</v>
      </c>
      <c r="E48" s="1">
        <f t="shared" si="1"/>
        <v>0.43771043771043572</v>
      </c>
      <c r="F48" s="1">
        <f t="shared" si="1"/>
        <v>0</v>
      </c>
      <c r="G48" s="1">
        <f t="shared" si="1"/>
        <v>0</v>
      </c>
      <c r="H48" s="1">
        <f t="shared" si="1"/>
        <v>0</v>
      </c>
    </row>
    <row r="49" spans="1:8" x14ac:dyDescent="0.3">
      <c r="A49" s="2">
        <v>40</v>
      </c>
      <c r="B49" s="3">
        <f t="shared" si="2"/>
        <v>-0.73063973063973187</v>
      </c>
      <c r="D49" s="1">
        <f t="shared" si="1"/>
        <v>0.55106621773288644</v>
      </c>
      <c r="E49" s="1">
        <f t="shared" si="1"/>
        <v>0.44893378226711356</v>
      </c>
      <c r="F49" s="1">
        <f t="shared" si="1"/>
        <v>0</v>
      </c>
      <c r="G49" s="1">
        <f t="shared" si="1"/>
        <v>0</v>
      </c>
      <c r="H49" s="1">
        <f t="shared" si="1"/>
        <v>0</v>
      </c>
    </row>
    <row r="50" spans="1:8" x14ac:dyDescent="0.3">
      <c r="A50" s="2">
        <v>41</v>
      </c>
      <c r="B50" s="3">
        <f t="shared" si="2"/>
        <v>-0.72390572390572516</v>
      </c>
      <c r="D50" s="1">
        <f t="shared" si="1"/>
        <v>0.5398428731762086</v>
      </c>
      <c r="E50" s="1">
        <f t="shared" si="1"/>
        <v>0.4601571268237914</v>
      </c>
      <c r="F50" s="1">
        <f t="shared" si="1"/>
        <v>0</v>
      </c>
      <c r="G50" s="1">
        <f t="shared" si="1"/>
        <v>0</v>
      </c>
      <c r="H50" s="1">
        <f t="shared" si="1"/>
        <v>0</v>
      </c>
    </row>
    <row r="51" spans="1:8" x14ac:dyDescent="0.3">
      <c r="A51" s="2">
        <v>42</v>
      </c>
      <c r="B51" s="3">
        <f t="shared" si="2"/>
        <v>-0.71717171717171846</v>
      </c>
      <c r="D51" s="1">
        <f t="shared" si="1"/>
        <v>0.52861952861953077</v>
      </c>
      <c r="E51" s="1">
        <f t="shared" si="1"/>
        <v>0.47138047138046923</v>
      </c>
      <c r="F51" s="1">
        <f t="shared" si="1"/>
        <v>0</v>
      </c>
      <c r="G51" s="1">
        <f t="shared" si="1"/>
        <v>0</v>
      </c>
      <c r="H51" s="1">
        <f t="shared" si="1"/>
        <v>0</v>
      </c>
    </row>
    <row r="52" spans="1:8" x14ac:dyDescent="0.3">
      <c r="A52" s="2">
        <v>43</v>
      </c>
      <c r="B52" s="3">
        <f t="shared" si="2"/>
        <v>-0.71043771043771176</v>
      </c>
      <c r="D52" s="1">
        <f t="shared" si="1"/>
        <v>0.51739618406285293</v>
      </c>
      <c r="E52" s="1">
        <f t="shared" si="1"/>
        <v>0.48260381593714707</v>
      </c>
      <c r="F52" s="1">
        <f t="shared" si="1"/>
        <v>0</v>
      </c>
      <c r="G52" s="1">
        <f t="shared" si="1"/>
        <v>0</v>
      </c>
      <c r="H52" s="1">
        <f t="shared" si="1"/>
        <v>0</v>
      </c>
    </row>
    <row r="53" spans="1:8" x14ac:dyDescent="0.3">
      <c r="A53" s="2">
        <v>44</v>
      </c>
      <c r="B53" s="3">
        <f t="shared" si="2"/>
        <v>-0.70370370370370505</v>
      </c>
      <c r="D53" s="1">
        <f t="shared" si="1"/>
        <v>0.50617283950617509</v>
      </c>
      <c r="E53" s="1">
        <f t="shared" si="1"/>
        <v>0.49382716049382491</v>
      </c>
      <c r="F53" s="1">
        <f t="shared" si="1"/>
        <v>0</v>
      </c>
      <c r="G53" s="1">
        <f t="shared" si="1"/>
        <v>0</v>
      </c>
      <c r="H53" s="1">
        <f t="shared" si="1"/>
        <v>0</v>
      </c>
    </row>
    <row r="54" spans="1:8" x14ac:dyDescent="0.3">
      <c r="A54" s="2">
        <v>45</v>
      </c>
      <c r="B54" s="3">
        <f t="shared" si="2"/>
        <v>-0.69696969696969835</v>
      </c>
      <c r="D54" s="1">
        <f t="shared" si="1"/>
        <v>0.49494949494949725</v>
      </c>
      <c r="E54" s="1">
        <f t="shared" si="1"/>
        <v>0.50505050505050275</v>
      </c>
      <c r="F54" s="1">
        <f t="shared" si="1"/>
        <v>0</v>
      </c>
      <c r="G54" s="1">
        <f t="shared" si="1"/>
        <v>0</v>
      </c>
      <c r="H54" s="1">
        <f t="shared" si="1"/>
        <v>0</v>
      </c>
    </row>
    <row r="55" spans="1:8" x14ac:dyDescent="0.3">
      <c r="A55" s="2">
        <v>46</v>
      </c>
      <c r="B55" s="3">
        <f t="shared" si="2"/>
        <v>-0.69023569023569165</v>
      </c>
      <c r="D55" s="1">
        <f t="shared" si="1"/>
        <v>0.48372615039281941</v>
      </c>
      <c r="E55" s="1">
        <f t="shared" si="1"/>
        <v>0.51627384960718059</v>
      </c>
      <c r="F55" s="1">
        <f t="shared" si="1"/>
        <v>0</v>
      </c>
      <c r="G55" s="1">
        <f t="shared" si="1"/>
        <v>0</v>
      </c>
      <c r="H55" s="1">
        <f t="shared" si="1"/>
        <v>0</v>
      </c>
    </row>
    <row r="56" spans="1:8" x14ac:dyDescent="0.3">
      <c r="A56" s="2">
        <v>47</v>
      </c>
      <c r="B56" s="3">
        <f t="shared" si="2"/>
        <v>-0.68350168350168494</v>
      </c>
      <c r="D56" s="1">
        <f t="shared" si="1"/>
        <v>0.47250280583614157</v>
      </c>
      <c r="E56" s="1">
        <f t="shared" si="1"/>
        <v>0.52749719416385843</v>
      </c>
      <c r="F56" s="1">
        <f t="shared" si="1"/>
        <v>0</v>
      </c>
      <c r="G56" s="1">
        <f t="shared" si="1"/>
        <v>0</v>
      </c>
      <c r="H56" s="1">
        <f t="shared" si="1"/>
        <v>0</v>
      </c>
    </row>
    <row r="57" spans="1:8" x14ac:dyDescent="0.3">
      <c r="A57" s="2">
        <v>48</v>
      </c>
      <c r="B57" s="3">
        <f t="shared" si="2"/>
        <v>-0.67676767676767824</v>
      </c>
      <c r="D57" s="1">
        <f t="shared" si="1"/>
        <v>0.46127946127946373</v>
      </c>
      <c r="E57" s="1">
        <f t="shared" si="1"/>
        <v>0.53872053872053627</v>
      </c>
      <c r="F57" s="1">
        <f t="shared" si="1"/>
        <v>0</v>
      </c>
      <c r="G57" s="1">
        <f t="shared" si="1"/>
        <v>0</v>
      </c>
      <c r="H57" s="1">
        <f t="shared" ref="E57:H72" si="3">IF($B57&gt;H$5,0,IF($B57&gt;H$4,(H$5-$B57)/(H$5-H$4),IF($B57&gt;H$3,1,IF($B57&gt;H$2,($B57-H$2)/(H$3-H$2),0))))</f>
        <v>0</v>
      </c>
    </row>
    <row r="58" spans="1:8" x14ac:dyDescent="0.3">
      <c r="A58" s="2">
        <v>49</v>
      </c>
      <c r="B58" s="3">
        <f t="shared" si="2"/>
        <v>-0.67003367003367154</v>
      </c>
      <c r="D58" s="1">
        <f t="shared" si="1"/>
        <v>0.45005611672278589</v>
      </c>
      <c r="E58" s="1">
        <f t="shared" si="3"/>
        <v>0.54994388327721411</v>
      </c>
      <c r="F58" s="1">
        <f t="shared" si="3"/>
        <v>0</v>
      </c>
      <c r="G58" s="1">
        <f t="shared" si="3"/>
        <v>0</v>
      </c>
      <c r="H58" s="1">
        <f t="shared" si="3"/>
        <v>0</v>
      </c>
    </row>
    <row r="59" spans="1:8" x14ac:dyDescent="0.3">
      <c r="A59" s="2">
        <v>50</v>
      </c>
      <c r="B59" s="3">
        <f t="shared" si="2"/>
        <v>-0.66329966329966483</v>
      </c>
      <c r="D59" s="1">
        <f t="shared" si="1"/>
        <v>0.43883277216610805</v>
      </c>
      <c r="E59" s="1">
        <f t="shared" si="3"/>
        <v>0.56116722783389195</v>
      </c>
      <c r="F59" s="1">
        <f t="shared" si="3"/>
        <v>0</v>
      </c>
      <c r="G59" s="1">
        <f t="shared" si="3"/>
        <v>0</v>
      </c>
      <c r="H59" s="1">
        <f t="shared" si="3"/>
        <v>0</v>
      </c>
    </row>
    <row r="60" spans="1:8" x14ac:dyDescent="0.3">
      <c r="A60" s="2">
        <v>51</v>
      </c>
      <c r="B60" s="3">
        <f t="shared" si="2"/>
        <v>-0.65656565656565813</v>
      </c>
      <c r="D60" s="1">
        <f t="shared" si="1"/>
        <v>0.42760942760943021</v>
      </c>
      <c r="E60" s="1">
        <f t="shared" si="3"/>
        <v>0.57239057239056979</v>
      </c>
      <c r="F60" s="1">
        <f t="shared" si="3"/>
        <v>0</v>
      </c>
      <c r="G60" s="1">
        <f t="shared" si="3"/>
        <v>0</v>
      </c>
      <c r="H60" s="1">
        <f t="shared" si="3"/>
        <v>0</v>
      </c>
    </row>
    <row r="61" spans="1:8" x14ac:dyDescent="0.3">
      <c r="A61" s="2">
        <v>52</v>
      </c>
      <c r="B61" s="3">
        <f t="shared" si="2"/>
        <v>-0.64983164983165143</v>
      </c>
      <c r="D61" s="1">
        <f t="shared" si="1"/>
        <v>0.41638608305275238</v>
      </c>
      <c r="E61" s="1">
        <f t="shared" si="3"/>
        <v>0.58361391694724762</v>
      </c>
      <c r="F61" s="1">
        <f t="shared" si="3"/>
        <v>0</v>
      </c>
      <c r="G61" s="1">
        <f t="shared" si="3"/>
        <v>0</v>
      </c>
      <c r="H61" s="1">
        <f t="shared" si="3"/>
        <v>0</v>
      </c>
    </row>
    <row r="62" spans="1:8" x14ac:dyDescent="0.3">
      <c r="A62" s="2">
        <v>53</v>
      </c>
      <c r="B62" s="3">
        <f t="shared" si="2"/>
        <v>-0.64309764309764472</v>
      </c>
      <c r="D62" s="1">
        <f t="shared" si="1"/>
        <v>0.40516273849607454</v>
      </c>
      <c r="E62" s="1">
        <f t="shared" si="3"/>
        <v>0.59483726150392546</v>
      </c>
      <c r="F62" s="1">
        <f t="shared" si="3"/>
        <v>0</v>
      </c>
      <c r="G62" s="1">
        <f t="shared" si="3"/>
        <v>0</v>
      </c>
      <c r="H62" s="1">
        <f t="shared" si="3"/>
        <v>0</v>
      </c>
    </row>
    <row r="63" spans="1:8" x14ac:dyDescent="0.3">
      <c r="A63" s="2">
        <v>54</v>
      </c>
      <c r="B63" s="3">
        <f t="shared" si="2"/>
        <v>-0.63636363636363802</v>
      </c>
      <c r="D63" s="1">
        <f t="shared" si="1"/>
        <v>0.3939393939393967</v>
      </c>
      <c r="E63" s="1">
        <f t="shared" si="3"/>
        <v>0.6060606060606033</v>
      </c>
      <c r="F63" s="1">
        <f t="shared" si="3"/>
        <v>0</v>
      </c>
      <c r="G63" s="1">
        <f t="shared" si="3"/>
        <v>0</v>
      </c>
      <c r="H63" s="1">
        <f t="shared" si="3"/>
        <v>0</v>
      </c>
    </row>
    <row r="64" spans="1:8" x14ac:dyDescent="0.3">
      <c r="A64" s="2">
        <v>55</v>
      </c>
      <c r="B64" s="3">
        <f t="shared" si="2"/>
        <v>-0.62962962962963132</v>
      </c>
      <c r="D64" s="1">
        <f t="shared" si="1"/>
        <v>0.38271604938271886</v>
      </c>
      <c r="E64" s="1">
        <f t="shared" si="3"/>
        <v>0.61728395061728114</v>
      </c>
      <c r="F64" s="1">
        <f t="shared" si="3"/>
        <v>0</v>
      </c>
      <c r="G64" s="1">
        <f t="shared" si="3"/>
        <v>0</v>
      </c>
      <c r="H64" s="1">
        <f t="shared" si="3"/>
        <v>0</v>
      </c>
    </row>
    <row r="65" spans="1:8" x14ac:dyDescent="0.3">
      <c r="A65" s="2">
        <v>56</v>
      </c>
      <c r="B65" s="3">
        <f t="shared" si="2"/>
        <v>-0.62289562289562461</v>
      </c>
      <c r="D65" s="1">
        <f t="shared" si="1"/>
        <v>0.37149270482604102</v>
      </c>
      <c r="E65" s="1">
        <f t="shared" si="3"/>
        <v>0.62850729517395898</v>
      </c>
      <c r="F65" s="1">
        <f t="shared" si="3"/>
        <v>0</v>
      </c>
      <c r="G65" s="1">
        <f t="shared" si="3"/>
        <v>0</v>
      </c>
      <c r="H65" s="1">
        <f t="shared" si="3"/>
        <v>0</v>
      </c>
    </row>
    <row r="66" spans="1:8" x14ac:dyDescent="0.3">
      <c r="A66" s="2">
        <v>57</v>
      </c>
      <c r="B66" s="3">
        <f t="shared" si="2"/>
        <v>-0.61616161616161791</v>
      </c>
      <c r="D66" s="1">
        <f t="shared" si="1"/>
        <v>0.36026936026936318</v>
      </c>
      <c r="E66" s="1">
        <f t="shared" si="3"/>
        <v>0.63973063973063682</v>
      </c>
      <c r="F66" s="1">
        <f t="shared" si="3"/>
        <v>0</v>
      </c>
      <c r="G66" s="1">
        <f t="shared" si="3"/>
        <v>0</v>
      </c>
      <c r="H66" s="1">
        <f t="shared" si="3"/>
        <v>0</v>
      </c>
    </row>
    <row r="67" spans="1:8" x14ac:dyDescent="0.3">
      <c r="A67" s="2">
        <v>58</v>
      </c>
      <c r="B67" s="3">
        <f t="shared" si="2"/>
        <v>-0.60942760942761121</v>
      </c>
      <c r="D67" s="1">
        <f t="shared" si="1"/>
        <v>0.34904601571268534</v>
      </c>
      <c r="E67" s="1">
        <f t="shared" si="3"/>
        <v>0.65095398428731466</v>
      </c>
      <c r="F67" s="1">
        <f t="shared" si="3"/>
        <v>0</v>
      </c>
      <c r="G67" s="1">
        <f t="shared" si="3"/>
        <v>0</v>
      </c>
      <c r="H67" s="1">
        <f t="shared" si="3"/>
        <v>0</v>
      </c>
    </row>
    <row r="68" spans="1:8" x14ac:dyDescent="0.3">
      <c r="A68" s="2">
        <v>59</v>
      </c>
      <c r="B68" s="3">
        <f t="shared" si="2"/>
        <v>-0.6026936026936045</v>
      </c>
      <c r="D68" s="1">
        <f t="shared" si="1"/>
        <v>0.3378226711560075</v>
      </c>
      <c r="E68" s="1">
        <f t="shared" si="3"/>
        <v>0.6621773288439925</v>
      </c>
      <c r="F68" s="1">
        <f t="shared" si="3"/>
        <v>0</v>
      </c>
      <c r="G68" s="1">
        <f t="shared" si="3"/>
        <v>0</v>
      </c>
      <c r="H68" s="1">
        <f t="shared" si="3"/>
        <v>0</v>
      </c>
    </row>
    <row r="69" spans="1:8" x14ac:dyDescent="0.3">
      <c r="A69" s="2">
        <v>60</v>
      </c>
      <c r="B69" s="3">
        <f t="shared" si="2"/>
        <v>-0.5959595959595978</v>
      </c>
      <c r="D69" s="1">
        <f t="shared" si="1"/>
        <v>0.32659932659932966</v>
      </c>
      <c r="E69" s="1">
        <f t="shared" si="3"/>
        <v>0.67340067340067034</v>
      </c>
      <c r="F69" s="1">
        <f t="shared" si="3"/>
        <v>0</v>
      </c>
      <c r="G69" s="1">
        <f t="shared" si="3"/>
        <v>0</v>
      </c>
      <c r="H69" s="1">
        <f t="shared" si="3"/>
        <v>0</v>
      </c>
    </row>
    <row r="70" spans="1:8" x14ac:dyDescent="0.3">
      <c r="A70" s="2">
        <v>61</v>
      </c>
      <c r="B70" s="3">
        <f t="shared" si="2"/>
        <v>-0.5892255892255911</v>
      </c>
      <c r="D70" s="1">
        <f t="shared" si="1"/>
        <v>0.31537598204265183</v>
      </c>
      <c r="E70" s="1">
        <f t="shared" si="3"/>
        <v>0.68462401795734817</v>
      </c>
      <c r="F70" s="1">
        <f t="shared" si="3"/>
        <v>0</v>
      </c>
      <c r="G70" s="1">
        <f t="shared" si="3"/>
        <v>0</v>
      </c>
      <c r="H70" s="1">
        <f t="shared" si="3"/>
        <v>0</v>
      </c>
    </row>
    <row r="71" spans="1:8" x14ac:dyDescent="0.3">
      <c r="A71" s="2">
        <v>62</v>
      </c>
      <c r="B71" s="3">
        <f t="shared" si="2"/>
        <v>-0.58249158249158439</v>
      </c>
      <c r="D71" s="1">
        <f t="shared" si="1"/>
        <v>0.30415263748597399</v>
      </c>
      <c r="E71" s="1">
        <f t="shared" si="3"/>
        <v>0.69584736251402601</v>
      </c>
      <c r="F71" s="1">
        <f t="shared" si="3"/>
        <v>0</v>
      </c>
      <c r="G71" s="1">
        <f t="shared" si="3"/>
        <v>0</v>
      </c>
      <c r="H71" s="1">
        <f t="shared" si="3"/>
        <v>0</v>
      </c>
    </row>
    <row r="72" spans="1:8" x14ac:dyDescent="0.3">
      <c r="A72" s="2">
        <v>63</v>
      </c>
      <c r="B72" s="3">
        <f t="shared" si="2"/>
        <v>-0.57575757575757769</v>
      </c>
      <c r="D72" s="1">
        <f t="shared" si="1"/>
        <v>0.29292929292929615</v>
      </c>
      <c r="E72" s="1">
        <f t="shared" si="3"/>
        <v>0.70707070707070385</v>
      </c>
      <c r="F72" s="1">
        <f t="shared" si="3"/>
        <v>0</v>
      </c>
      <c r="G72" s="1">
        <f t="shared" si="3"/>
        <v>0</v>
      </c>
      <c r="H72" s="1">
        <f t="shared" si="3"/>
        <v>0</v>
      </c>
    </row>
    <row r="73" spans="1:8" x14ac:dyDescent="0.3">
      <c r="A73" s="2">
        <v>64</v>
      </c>
      <c r="B73" s="3">
        <f t="shared" si="2"/>
        <v>-0.56902356902357099</v>
      </c>
      <c r="D73" s="1">
        <f t="shared" si="1"/>
        <v>0.28170594837261831</v>
      </c>
      <c r="E73" s="1">
        <f t="shared" ref="E73:H73" si="4">IF($B73&gt;E$5,0,IF($B73&gt;E$4,(E$5-$B73)/(E$5-E$4),IF($B73&gt;E$3,1,IF($B73&gt;E$2,($B73-E$2)/(E$3-E$2),0))))</f>
        <v>0.71829405162738169</v>
      </c>
      <c r="F73" s="1">
        <f t="shared" si="4"/>
        <v>0</v>
      </c>
      <c r="G73" s="1">
        <f t="shared" si="4"/>
        <v>0</v>
      </c>
      <c r="H73" s="1">
        <f t="shared" si="4"/>
        <v>0</v>
      </c>
    </row>
    <row r="74" spans="1:8" x14ac:dyDescent="0.3">
      <c r="A74" s="2">
        <v>65</v>
      </c>
      <c r="B74" s="3">
        <f t="shared" si="2"/>
        <v>-0.56228956228956428</v>
      </c>
      <c r="D74" s="1">
        <f t="shared" ref="D74:H107" si="5">IF($B74&gt;D$5,0,IF($B74&gt;D$4,(D$5-$B74)/(D$5-D$4),IF($B74&gt;D$3,1,IF($B74&gt;D$2,($B74-D$2)/(D$3-D$2),0))))</f>
        <v>0.27048260381594047</v>
      </c>
      <c r="E74" s="1">
        <f t="shared" si="5"/>
        <v>0.72951739618405953</v>
      </c>
      <c r="F74" s="1">
        <f t="shared" si="5"/>
        <v>0</v>
      </c>
      <c r="G74" s="1">
        <f t="shared" si="5"/>
        <v>0</v>
      </c>
      <c r="H74" s="1">
        <f t="shared" si="5"/>
        <v>0</v>
      </c>
    </row>
    <row r="75" spans="1:8" x14ac:dyDescent="0.3">
      <c r="A75" s="2">
        <v>66</v>
      </c>
      <c r="B75" s="3">
        <f t="shared" ref="B75:B138" si="6">B74+((B$306-B$9)/297)</f>
        <v>-0.55555555555555758</v>
      </c>
      <c r="D75" s="1">
        <f t="shared" si="5"/>
        <v>0.25925925925926263</v>
      </c>
      <c r="E75" s="1">
        <f t="shared" si="5"/>
        <v>0.74074074074073737</v>
      </c>
      <c r="F75" s="1">
        <f t="shared" si="5"/>
        <v>0</v>
      </c>
      <c r="G75" s="1">
        <f t="shared" si="5"/>
        <v>0</v>
      </c>
      <c r="H75" s="1">
        <f t="shared" si="5"/>
        <v>0</v>
      </c>
    </row>
    <row r="76" spans="1:8" x14ac:dyDescent="0.3">
      <c r="A76" s="2">
        <v>67</v>
      </c>
      <c r="B76" s="3">
        <f t="shared" si="6"/>
        <v>-0.54882154882155088</v>
      </c>
      <c r="D76" s="1">
        <f t="shared" si="5"/>
        <v>0.24803591470258476</v>
      </c>
      <c r="E76" s="1">
        <f t="shared" si="5"/>
        <v>0.75196408529741521</v>
      </c>
      <c r="F76" s="1">
        <f t="shared" si="5"/>
        <v>0</v>
      </c>
      <c r="G76" s="1">
        <f t="shared" si="5"/>
        <v>0</v>
      </c>
      <c r="H76" s="1">
        <f t="shared" si="5"/>
        <v>0</v>
      </c>
    </row>
    <row r="77" spans="1:8" x14ac:dyDescent="0.3">
      <c r="A77" s="2">
        <v>68</v>
      </c>
      <c r="B77" s="3">
        <f t="shared" si="6"/>
        <v>-0.54208754208754417</v>
      </c>
      <c r="D77" s="1">
        <f t="shared" si="5"/>
        <v>0.23681257014590693</v>
      </c>
      <c r="E77" s="1">
        <f t="shared" si="5"/>
        <v>0.76318742985409305</v>
      </c>
      <c r="F77" s="1">
        <f t="shared" si="5"/>
        <v>0</v>
      </c>
      <c r="G77" s="1">
        <f t="shared" si="5"/>
        <v>0</v>
      </c>
      <c r="H77" s="1">
        <f t="shared" si="5"/>
        <v>0</v>
      </c>
    </row>
    <row r="78" spans="1:8" x14ac:dyDescent="0.3">
      <c r="A78" s="2">
        <v>69</v>
      </c>
      <c r="B78" s="3">
        <f t="shared" si="6"/>
        <v>-0.53535353535353747</v>
      </c>
      <c r="D78" s="1">
        <f t="shared" si="5"/>
        <v>0.22558922558922909</v>
      </c>
      <c r="E78" s="1">
        <f t="shared" si="5"/>
        <v>0.77441077441077089</v>
      </c>
      <c r="F78" s="1">
        <f t="shared" si="5"/>
        <v>0</v>
      </c>
      <c r="G78" s="1">
        <f t="shared" si="5"/>
        <v>0</v>
      </c>
      <c r="H78" s="1">
        <f t="shared" si="5"/>
        <v>0</v>
      </c>
    </row>
    <row r="79" spans="1:8" x14ac:dyDescent="0.3">
      <c r="A79" s="2">
        <v>70</v>
      </c>
      <c r="B79" s="3">
        <f t="shared" si="6"/>
        <v>-0.52861952861953077</v>
      </c>
      <c r="D79" s="1">
        <f t="shared" si="5"/>
        <v>0.21436588103255125</v>
      </c>
      <c r="E79" s="1">
        <f t="shared" si="5"/>
        <v>0.78563411896744872</v>
      </c>
      <c r="F79" s="1">
        <f t="shared" si="5"/>
        <v>0</v>
      </c>
      <c r="G79" s="1">
        <f t="shared" si="5"/>
        <v>0</v>
      </c>
      <c r="H79" s="1">
        <f t="shared" si="5"/>
        <v>0</v>
      </c>
    </row>
    <row r="80" spans="1:8" x14ac:dyDescent="0.3">
      <c r="A80" s="2">
        <v>71</v>
      </c>
      <c r="B80" s="3">
        <f t="shared" si="6"/>
        <v>-0.52188552188552406</v>
      </c>
      <c r="D80" s="1">
        <f t="shared" si="5"/>
        <v>0.20314253647587341</v>
      </c>
      <c r="E80" s="1">
        <f t="shared" si="5"/>
        <v>0.79685746352412656</v>
      </c>
      <c r="F80" s="1">
        <f t="shared" si="5"/>
        <v>0</v>
      </c>
      <c r="G80" s="1">
        <f t="shared" si="5"/>
        <v>0</v>
      </c>
      <c r="H80" s="1">
        <f t="shared" si="5"/>
        <v>0</v>
      </c>
    </row>
    <row r="81" spans="1:8" x14ac:dyDescent="0.3">
      <c r="A81" s="2">
        <v>72</v>
      </c>
      <c r="B81" s="3">
        <f t="shared" si="6"/>
        <v>-0.51515151515151736</v>
      </c>
      <c r="D81" s="1">
        <f t="shared" si="5"/>
        <v>0.19191919191919557</v>
      </c>
      <c r="E81" s="7">
        <f t="shared" si="5"/>
        <v>0.8080808080808044</v>
      </c>
      <c r="F81" s="1">
        <f t="shared" si="5"/>
        <v>0</v>
      </c>
      <c r="G81" s="1">
        <f t="shared" si="5"/>
        <v>0</v>
      </c>
      <c r="H81" s="1">
        <f t="shared" si="5"/>
        <v>0</v>
      </c>
    </row>
    <row r="82" spans="1:8" x14ac:dyDescent="0.3">
      <c r="A82" s="2">
        <v>73</v>
      </c>
      <c r="B82" s="3">
        <f t="shared" si="6"/>
        <v>-0.50841750841751066</v>
      </c>
      <c r="D82" s="1">
        <f t="shared" si="5"/>
        <v>0.18069584736251773</v>
      </c>
      <c r="E82" s="7">
        <f t="shared" si="5"/>
        <v>0.81930415263748224</v>
      </c>
      <c r="F82" s="1">
        <f t="shared" si="5"/>
        <v>0</v>
      </c>
      <c r="G82" s="1">
        <f t="shared" si="5"/>
        <v>0</v>
      </c>
      <c r="H82" s="1">
        <f t="shared" si="5"/>
        <v>0</v>
      </c>
    </row>
    <row r="83" spans="1:8" x14ac:dyDescent="0.3">
      <c r="A83" s="2">
        <v>74</v>
      </c>
      <c r="B83" s="3">
        <f t="shared" si="6"/>
        <v>-0.50168350168350395</v>
      </c>
      <c r="D83" s="1">
        <f t="shared" si="5"/>
        <v>0.16947250280583989</v>
      </c>
      <c r="E83" s="7">
        <f t="shared" si="5"/>
        <v>0.83052749719416008</v>
      </c>
      <c r="F83" s="1">
        <f t="shared" si="5"/>
        <v>0</v>
      </c>
      <c r="G83" s="1">
        <f t="shared" si="5"/>
        <v>0</v>
      </c>
      <c r="H83" s="1">
        <f t="shared" si="5"/>
        <v>0</v>
      </c>
    </row>
    <row r="84" spans="1:8" x14ac:dyDescent="0.3">
      <c r="A84" s="2">
        <v>75</v>
      </c>
      <c r="B84" s="3">
        <f t="shared" si="6"/>
        <v>-0.49494949494949719</v>
      </c>
      <c r="D84" s="1">
        <f t="shared" si="5"/>
        <v>0.15824915824916197</v>
      </c>
      <c r="E84" s="7">
        <f t="shared" si="5"/>
        <v>0.84175084175083792</v>
      </c>
      <c r="F84" s="1">
        <f t="shared" si="5"/>
        <v>0</v>
      </c>
      <c r="G84" s="1">
        <f t="shared" si="5"/>
        <v>0</v>
      </c>
      <c r="H84" s="1">
        <f t="shared" si="5"/>
        <v>0</v>
      </c>
    </row>
    <row r="85" spans="1:8" x14ac:dyDescent="0.3">
      <c r="A85" s="2">
        <v>76</v>
      </c>
      <c r="B85" s="3">
        <f t="shared" si="6"/>
        <v>-0.48821548821549043</v>
      </c>
      <c r="D85" s="1">
        <f t="shared" si="5"/>
        <v>0.14702581369248402</v>
      </c>
      <c r="E85" s="7">
        <f t="shared" si="5"/>
        <v>0.85297418630751598</v>
      </c>
      <c r="F85" s="1">
        <f t="shared" si="5"/>
        <v>0</v>
      </c>
      <c r="G85" s="1">
        <f t="shared" si="5"/>
        <v>0</v>
      </c>
      <c r="H85" s="1">
        <f t="shared" si="5"/>
        <v>0</v>
      </c>
    </row>
    <row r="86" spans="1:8" x14ac:dyDescent="0.3">
      <c r="A86" s="2">
        <v>77</v>
      </c>
      <c r="B86" s="3">
        <f t="shared" si="6"/>
        <v>-0.48148148148148368</v>
      </c>
      <c r="D86" s="1">
        <f t="shared" si="5"/>
        <v>0.1358024691358061</v>
      </c>
      <c r="E86" s="7">
        <f t="shared" si="5"/>
        <v>0.86419753086419404</v>
      </c>
      <c r="F86" s="1">
        <f t="shared" si="5"/>
        <v>0</v>
      </c>
      <c r="G86" s="1">
        <f t="shared" si="5"/>
        <v>0</v>
      </c>
      <c r="H86" s="1">
        <f t="shared" si="5"/>
        <v>0</v>
      </c>
    </row>
    <row r="87" spans="1:8" x14ac:dyDescent="0.3">
      <c r="A87" s="2">
        <v>78</v>
      </c>
      <c r="B87" s="3">
        <f t="shared" si="6"/>
        <v>-0.47474747474747692</v>
      </c>
      <c r="D87" s="1">
        <f t="shared" si="5"/>
        <v>0.12457912457912816</v>
      </c>
      <c r="E87" s="7">
        <f t="shared" si="5"/>
        <v>0.87542087542087188</v>
      </c>
      <c r="F87" s="1">
        <f t="shared" si="5"/>
        <v>0</v>
      </c>
      <c r="G87" s="1">
        <f t="shared" si="5"/>
        <v>0</v>
      </c>
      <c r="H87" s="1">
        <f t="shared" si="5"/>
        <v>0</v>
      </c>
    </row>
    <row r="88" spans="1:8" x14ac:dyDescent="0.3">
      <c r="A88" s="2">
        <v>79</v>
      </c>
      <c r="B88" s="3">
        <f t="shared" si="6"/>
        <v>-0.46801346801347016</v>
      </c>
      <c r="D88" s="1">
        <f t="shared" si="5"/>
        <v>0.11335578002245023</v>
      </c>
      <c r="E88" s="7">
        <f t="shared" si="5"/>
        <v>0.88664421997754972</v>
      </c>
      <c r="F88" s="1">
        <f t="shared" si="5"/>
        <v>0</v>
      </c>
      <c r="G88" s="1">
        <f t="shared" si="5"/>
        <v>0</v>
      </c>
      <c r="H88" s="1">
        <f t="shared" si="5"/>
        <v>0</v>
      </c>
    </row>
    <row r="89" spans="1:8" x14ac:dyDescent="0.3">
      <c r="A89" s="2">
        <v>80</v>
      </c>
      <c r="B89" s="3">
        <f t="shared" si="6"/>
        <v>-0.4612794612794634</v>
      </c>
      <c r="D89" s="1">
        <f t="shared" si="5"/>
        <v>0.1021324354657723</v>
      </c>
      <c r="E89" s="7">
        <f t="shared" si="5"/>
        <v>0.89786756453422767</v>
      </c>
      <c r="F89" s="1">
        <f t="shared" si="5"/>
        <v>0</v>
      </c>
      <c r="G89" s="1">
        <f t="shared" si="5"/>
        <v>0</v>
      </c>
      <c r="H89" s="1">
        <f t="shared" si="5"/>
        <v>0</v>
      </c>
    </row>
    <row r="90" spans="1:8" x14ac:dyDescent="0.3">
      <c r="A90" s="2">
        <v>81</v>
      </c>
      <c r="B90" s="3">
        <f t="shared" si="6"/>
        <v>-0.45454545454545664</v>
      </c>
      <c r="D90" s="1">
        <f t="shared" si="5"/>
        <v>9.0909090909094367E-2</v>
      </c>
      <c r="E90" s="7">
        <f t="shared" si="5"/>
        <v>0.90909090909090573</v>
      </c>
      <c r="F90" s="1">
        <f t="shared" si="5"/>
        <v>0</v>
      </c>
      <c r="G90" s="1">
        <f t="shared" si="5"/>
        <v>0</v>
      </c>
      <c r="H90" s="1">
        <f t="shared" si="5"/>
        <v>0</v>
      </c>
    </row>
    <row r="91" spans="1:8" x14ac:dyDescent="0.3">
      <c r="A91" s="2">
        <v>82</v>
      </c>
      <c r="B91" s="3">
        <f t="shared" si="6"/>
        <v>-0.44781144781144988</v>
      </c>
      <c r="D91" s="1">
        <f t="shared" si="5"/>
        <v>7.9685746352416431E-2</v>
      </c>
      <c r="E91" s="7">
        <f t="shared" si="5"/>
        <v>0.92031425364758357</v>
      </c>
      <c r="F91" s="1">
        <f t="shared" si="5"/>
        <v>0</v>
      </c>
      <c r="G91" s="1">
        <f t="shared" si="5"/>
        <v>0</v>
      </c>
      <c r="H91" s="1">
        <f t="shared" si="5"/>
        <v>0</v>
      </c>
    </row>
    <row r="92" spans="1:8" x14ac:dyDescent="0.3">
      <c r="A92" s="2">
        <v>83</v>
      </c>
      <c r="B92" s="3">
        <f t="shared" si="6"/>
        <v>-0.44107744107744312</v>
      </c>
      <c r="D92" s="1">
        <f t="shared" si="5"/>
        <v>6.8462401795738509E-2</v>
      </c>
      <c r="E92" s="7">
        <f t="shared" si="5"/>
        <v>0.93153759820426141</v>
      </c>
      <c r="F92" s="1">
        <f t="shared" si="5"/>
        <v>0</v>
      </c>
      <c r="G92" s="1">
        <f t="shared" si="5"/>
        <v>0</v>
      </c>
      <c r="H92" s="1">
        <f t="shared" si="5"/>
        <v>0</v>
      </c>
    </row>
    <row r="93" spans="1:8" x14ac:dyDescent="0.3">
      <c r="A93" s="2">
        <v>84</v>
      </c>
      <c r="B93" s="3">
        <f t="shared" si="6"/>
        <v>-0.43434343434343636</v>
      </c>
      <c r="D93" s="1">
        <f t="shared" si="5"/>
        <v>5.7239057239060573E-2</v>
      </c>
      <c r="E93" s="7">
        <f t="shared" si="5"/>
        <v>0.94276094276093947</v>
      </c>
      <c r="F93" s="1">
        <f t="shared" si="5"/>
        <v>0</v>
      </c>
      <c r="G93" s="1">
        <f t="shared" si="5"/>
        <v>0</v>
      </c>
      <c r="H93" s="1">
        <f t="shared" si="5"/>
        <v>0</v>
      </c>
    </row>
    <row r="94" spans="1:8" x14ac:dyDescent="0.3">
      <c r="A94" s="2">
        <v>85</v>
      </c>
      <c r="B94" s="3">
        <f t="shared" si="6"/>
        <v>-0.4276094276094296</v>
      </c>
      <c r="D94" s="1">
        <f t="shared" si="5"/>
        <v>4.6015712682382637E-2</v>
      </c>
      <c r="E94" s="7">
        <f t="shared" si="5"/>
        <v>0.95398428731761742</v>
      </c>
      <c r="F94" s="1">
        <f t="shared" si="5"/>
        <v>0</v>
      </c>
      <c r="G94" s="1">
        <f t="shared" si="5"/>
        <v>0</v>
      </c>
      <c r="H94" s="1">
        <f t="shared" si="5"/>
        <v>0</v>
      </c>
    </row>
    <row r="95" spans="1:8" x14ac:dyDescent="0.3">
      <c r="A95" s="2">
        <v>86</v>
      </c>
      <c r="B95" s="3">
        <f t="shared" si="6"/>
        <v>-0.42087542087542285</v>
      </c>
      <c r="D95" s="1">
        <f t="shared" si="5"/>
        <v>3.4792368125704708E-2</v>
      </c>
      <c r="E95" s="7">
        <f t="shared" si="5"/>
        <v>0.96520763187429526</v>
      </c>
      <c r="F95" s="1">
        <f t="shared" si="5"/>
        <v>0</v>
      </c>
      <c r="G95" s="1">
        <f t="shared" si="5"/>
        <v>0</v>
      </c>
      <c r="H95" s="1">
        <f t="shared" si="5"/>
        <v>0</v>
      </c>
    </row>
    <row r="96" spans="1:8" x14ac:dyDescent="0.3">
      <c r="A96" s="2">
        <v>87</v>
      </c>
      <c r="B96" s="3">
        <f t="shared" si="6"/>
        <v>-0.41414141414141609</v>
      </c>
      <c r="D96" s="1">
        <f t="shared" si="5"/>
        <v>2.3569023569026775E-2</v>
      </c>
      <c r="E96" s="7">
        <f t="shared" si="5"/>
        <v>0.9764309764309731</v>
      </c>
      <c r="F96" s="1">
        <f t="shared" si="5"/>
        <v>0</v>
      </c>
      <c r="G96" s="1">
        <f t="shared" si="5"/>
        <v>0</v>
      </c>
      <c r="H96" s="1">
        <f t="shared" si="5"/>
        <v>0</v>
      </c>
    </row>
    <row r="97" spans="1:8" x14ac:dyDescent="0.3">
      <c r="A97" s="2">
        <v>88</v>
      </c>
      <c r="B97" s="3">
        <f t="shared" si="6"/>
        <v>-0.40740740740740933</v>
      </c>
      <c r="D97" s="1">
        <f t="shared" si="5"/>
        <v>1.2345679012348842E-2</v>
      </c>
      <c r="E97" s="7">
        <f t="shared" si="5"/>
        <v>0.98765432098765116</v>
      </c>
      <c r="F97" s="1">
        <f t="shared" si="5"/>
        <v>0</v>
      </c>
      <c r="G97" s="1">
        <f t="shared" si="5"/>
        <v>0</v>
      </c>
      <c r="H97" s="1">
        <f t="shared" si="5"/>
        <v>0</v>
      </c>
    </row>
    <row r="98" spans="1:8" x14ac:dyDescent="0.3">
      <c r="A98" s="2">
        <v>89</v>
      </c>
      <c r="B98" s="3">
        <f t="shared" si="6"/>
        <v>-0.40067340067340257</v>
      </c>
      <c r="D98" s="1">
        <f t="shared" si="5"/>
        <v>1.1223344556709112E-3</v>
      </c>
      <c r="E98" s="7">
        <f t="shared" si="5"/>
        <v>0.99887766554432922</v>
      </c>
      <c r="F98" s="1">
        <f t="shared" si="5"/>
        <v>0</v>
      </c>
      <c r="G98" s="1">
        <f t="shared" si="5"/>
        <v>0</v>
      </c>
      <c r="H98" s="1">
        <f t="shared" si="5"/>
        <v>0</v>
      </c>
    </row>
    <row r="99" spans="1:8" x14ac:dyDescent="0.3">
      <c r="A99" s="2">
        <v>90</v>
      </c>
      <c r="B99" s="3">
        <f t="shared" si="6"/>
        <v>-0.39393939393939581</v>
      </c>
      <c r="D99" s="1">
        <f t="shared" si="5"/>
        <v>0</v>
      </c>
      <c r="E99" s="7">
        <f t="shared" si="5"/>
        <v>0.98484848484848952</v>
      </c>
      <c r="F99" s="1">
        <f t="shared" si="5"/>
        <v>1.5151515151510531E-2</v>
      </c>
      <c r="G99" s="1">
        <f t="shared" si="5"/>
        <v>0</v>
      </c>
      <c r="H99" s="1">
        <f t="shared" si="5"/>
        <v>0</v>
      </c>
    </row>
    <row r="100" spans="1:8" x14ac:dyDescent="0.3">
      <c r="A100" s="2">
        <v>91</v>
      </c>
      <c r="B100" s="3">
        <f t="shared" si="6"/>
        <v>-0.38720538720538905</v>
      </c>
      <c r="D100" s="1">
        <f t="shared" si="5"/>
        <v>0</v>
      </c>
      <c r="E100" s="7">
        <f t="shared" si="5"/>
        <v>0.96801346801347254</v>
      </c>
      <c r="F100" s="1">
        <f t="shared" si="5"/>
        <v>3.1986531986527428E-2</v>
      </c>
      <c r="G100" s="1">
        <f t="shared" si="5"/>
        <v>0</v>
      </c>
      <c r="H100" s="1">
        <f t="shared" si="5"/>
        <v>0</v>
      </c>
    </row>
    <row r="101" spans="1:8" x14ac:dyDescent="0.3">
      <c r="A101" s="2">
        <v>92</v>
      </c>
      <c r="B101" s="3">
        <f t="shared" si="6"/>
        <v>-0.38047138047138229</v>
      </c>
      <c r="D101" s="1">
        <f t="shared" si="5"/>
        <v>0</v>
      </c>
      <c r="E101" s="7">
        <f t="shared" si="5"/>
        <v>0.95117845117845568</v>
      </c>
      <c r="F101" s="1">
        <f t="shared" si="5"/>
        <v>4.8821548821544325E-2</v>
      </c>
      <c r="G101" s="1">
        <f t="shared" si="5"/>
        <v>0</v>
      </c>
      <c r="H101" s="1">
        <f t="shared" si="5"/>
        <v>0</v>
      </c>
    </row>
    <row r="102" spans="1:8" x14ac:dyDescent="0.3">
      <c r="A102" s="2">
        <v>93</v>
      </c>
      <c r="B102" s="3">
        <f t="shared" si="6"/>
        <v>-0.37373737373737553</v>
      </c>
      <c r="D102" s="1">
        <f t="shared" si="5"/>
        <v>0</v>
      </c>
      <c r="E102" s="7">
        <f t="shared" si="5"/>
        <v>0.93434343434343881</v>
      </c>
      <c r="F102" s="1">
        <f t="shared" si="5"/>
        <v>6.5656565656561222E-2</v>
      </c>
      <c r="G102" s="1">
        <f t="shared" si="5"/>
        <v>0</v>
      </c>
      <c r="H102" s="1">
        <f t="shared" si="5"/>
        <v>0</v>
      </c>
    </row>
    <row r="103" spans="1:8" x14ac:dyDescent="0.3">
      <c r="A103" s="2">
        <v>94</v>
      </c>
      <c r="B103" s="3">
        <f t="shared" si="6"/>
        <v>-0.36700336700336877</v>
      </c>
      <c r="D103" s="1">
        <f t="shared" si="5"/>
        <v>0</v>
      </c>
      <c r="E103" s="7">
        <f t="shared" si="5"/>
        <v>0.91750841750842194</v>
      </c>
      <c r="F103" s="1">
        <f t="shared" si="5"/>
        <v>8.2491582491578119E-2</v>
      </c>
      <c r="G103" s="1">
        <f t="shared" si="5"/>
        <v>0</v>
      </c>
      <c r="H103" s="1">
        <f t="shared" si="5"/>
        <v>0</v>
      </c>
    </row>
    <row r="104" spans="1:8" x14ac:dyDescent="0.3">
      <c r="A104" s="2">
        <v>95</v>
      </c>
      <c r="B104" s="3">
        <f t="shared" si="6"/>
        <v>-0.36026936026936202</v>
      </c>
      <c r="D104" s="1">
        <f t="shared" si="5"/>
        <v>0</v>
      </c>
      <c r="E104" s="7">
        <f t="shared" si="5"/>
        <v>0.90067340067340496</v>
      </c>
      <c r="F104" s="1">
        <f t="shared" si="5"/>
        <v>9.9326599326595016E-2</v>
      </c>
      <c r="G104" s="1">
        <f t="shared" si="5"/>
        <v>0</v>
      </c>
      <c r="H104" s="1">
        <f t="shared" si="5"/>
        <v>0</v>
      </c>
    </row>
    <row r="105" spans="1:8" x14ac:dyDescent="0.3">
      <c r="A105" s="2">
        <v>96</v>
      </c>
      <c r="B105" s="3">
        <f t="shared" si="6"/>
        <v>-0.35353535353535526</v>
      </c>
      <c r="D105" s="1">
        <f t="shared" si="5"/>
        <v>0</v>
      </c>
      <c r="E105" s="7">
        <f t="shared" si="5"/>
        <v>0.88383838383838809</v>
      </c>
      <c r="F105" s="1">
        <f t="shared" si="5"/>
        <v>0.11616161616161191</v>
      </c>
      <c r="G105" s="1">
        <f t="shared" si="5"/>
        <v>0</v>
      </c>
      <c r="H105" s="1">
        <f t="shared" si="5"/>
        <v>0</v>
      </c>
    </row>
    <row r="106" spans="1:8" x14ac:dyDescent="0.3">
      <c r="A106" s="2">
        <v>97</v>
      </c>
      <c r="B106" s="3">
        <f t="shared" si="6"/>
        <v>-0.3468013468013485</v>
      </c>
      <c r="D106" s="1">
        <f t="shared" si="5"/>
        <v>0</v>
      </c>
      <c r="E106" s="7">
        <f t="shared" si="5"/>
        <v>0.86700336700337122</v>
      </c>
      <c r="F106" s="1">
        <f t="shared" si="5"/>
        <v>0.13299663299662881</v>
      </c>
      <c r="G106" s="1">
        <f t="shared" si="5"/>
        <v>0</v>
      </c>
      <c r="H106" s="1">
        <f t="shared" si="5"/>
        <v>0</v>
      </c>
    </row>
    <row r="107" spans="1:8" x14ac:dyDescent="0.3">
      <c r="A107" s="2">
        <v>98</v>
      </c>
      <c r="B107" s="3">
        <f t="shared" si="6"/>
        <v>-0.34006734006734174</v>
      </c>
      <c r="D107" s="1">
        <f t="shared" si="5"/>
        <v>0</v>
      </c>
      <c r="E107" s="7">
        <f t="shared" si="5"/>
        <v>0.85016835016835435</v>
      </c>
      <c r="F107" s="1">
        <f t="shared" si="5"/>
        <v>0.14983164983164571</v>
      </c>
      <c r="G107" s="1">
        <f t="shared" si="5"/>
        <v>0</v>
      </c>
      <c r="H107" s="1">
        <f t="shared" si="5"/>
        <v>0</v>
      </c>
    </row>
    <row r="108" spans="1:8" x14ac:dyDescent="0.3">
      <c r="A108" s="2">
        <v>99</v>
      </c>
      <c r="B108" s="3">
        <f t="shared" si="6"/>
        <v>-0.33333333333333498</v>
      </c>
      <c r="D108" s="1">
        <f>IF($B108&gt;D$5,0,IF($B108&gt;D$4,(D$5-$B108)/(D$5-D$4),IF($B108&gt;D$3,1,IF($B108&gt;D$2,($B108-D$2)/(D$3-D$2),0))))</f>
        <v>0</v>
      </c>
      <c r="E108" s="7">
        <f>IF($B108&gt;E$5,0,IF($B108&gt;E$4,(E$5-$B108)/(E$5-E$4),IF($B108&gt;E$3,1,IF($B108&gt;E$2,($B108-E$2)/(E$3-E$2),0))))</f>
        <v>0.83333333333333737</v>
      </c>
      <c r="F108" s="1">
        <f>IF($B108&gt;F$5,0,IF($B108&gt;F$4,(F$5-$B108)/(F$5-F$4),IF($B108&gt;F$3,1,IF($B108&gt;F$2,($B108-F$2)/(F$3-F$2),0))))</f>
        <v>0.16666666666666261</v>
      </c>
      <c r="G108" s="1">
        <f>IF($B108&gt;G$5,0,IF($B108&gt;G$4,(G$5-$B108)/(G$5-G$4),IF($B108&gt;G$3,1,IF($B108&gt;G$2,($B108-G$2)/(G$3-G$2),0))))</f>
        <v>0</v>
      </c>
      <c r="H108" s="1">
        <f>IF($B108&gt;H$5,0,IF($B108&gt;H$4,(H$5-$B108)/(H$5-H$4),IF($B108&gt;H$3,1,IF($B108&gt;H$2,($B108-H$2)/(H$3-H$2),0))))</f>
        <v>0</v>
      </c>
    </row>
    <row r="109" spans="1:8" x14ac:dyDescent="0.3">
      <c r="A109" s="2">
        <v>100</v>
      </c>
      <c r="B109" s="3">
        <f t="shared" si="6"/>
        <v>-0.32659932659932822</v>
      </c>
      <c r="D109" s="1">
        <f t="shared" ref="D109:H140" si="7">IF($B109&gt;D$5,0,IF($B109&gt;D$4,(D$5-$B109)/(D$5-D$4),IF($B109&gt;D$3,1,IF($B109&gt;D$2,($B109-D$2)/(D$3-D$2),0))))</f>
        <v>0</v>
      </c>
      <c r="E109" s="7">
        <f t="shared" si="7"/>
        <v>0.8164983164983205</v>
      </c>
      <c r="F109" s="1">
        <f t="shared" si="7"/>
        <v>0.1835016835016795</v>
      </c>
      <c r="G109" s="1">
        <f t="shared" si="7"/>
        <v>0</v>
      </c>
      <c r="H109" s="1">
        <f t="shared" si="7"/>
        <v>0</v>
      </c>
    </row>
    <row r="110" spans="1:8" x14ac:dyDescent="0.3">
      <c r="A110" s="2">
        <v>101</v>
      </c>
      <c r="B110" s="3">
        <f t="shared" si="6"/>
        <v>-0.31986531986532146</v>
      </c>
      <c r="D110" s="1">
        <f t="shared" si="7"/>
        <v>0</v>
      </c>
      <c r="E110" s="1">
        <f t="shared" si="7"/>
        <v>0.79966329966330363</v>
      </c>
      <c r="F110" s="1">
        <f t="shared" si="7"/>
        <v>0.2003367003366964</v>
      </c>
      <c r="G110" s="1">
        <f t="shared" si="7"/>
        <v>0</v>
      </c>
      <c r="H110" s="1">
        <f t="shared" si="7"/>
        <v>0</v>
      </c>
    </row>
    <row r="111" spans="1:8" x14ac:dyDescent="0.3">
      <c r="A111" s="2">
        <v>102</v>
      </c>
      <c r="B111" s="3">
        <f t="shared" si="6"/>
        <v>-0.3131313131313147</v>
      </c>
      <c r="D111" s="1">
        <f t="shared" si="7"/>
        <v>0</v>
      </c>
      <c r="E111" s="1">
        <f t="shared" si="7"/>
        <v>0.78282828282828676</v>
      </c>
      <c r="F111" s="1">
        <f t="shared" si="7"/>
        <v>0.2171717171717133</v>
      </c>
      <c r="G111" s="1">
        <f t="shared" si="7"/>
        <v>0</v>
      </c>
      <c r="H111" s="1">
        <f t="shared" si="7"/>
        <v>0</v>
      </c>
    </row>
    <row r="112" spans="1:8" x14ac:dyDescent="0.3">
      <c r="A112" s="2">
        <v>103</v>
      </c>
      <c r="B112" s="3">
        <f t="shared" si="6"/>
        <v>-0.30639730639730794</v>
      </c>
      <c r="D112" s="1">
        <f t="shared" si="7"/>
        <v>0</v>
      </c>
      <c r="E112" s="1">
        <f t="shared" si="7"/>
        <v>0.76599326599326978</v>
      </c>
      <c r="F112" s="1">
        <f t="shared" si="7"/>
        <v>0.23400673400673019</v>
      </c>
      <c r="G112" s="1">
        <f t="shared" si="7"/>
        <v>0</v>
      </c>
      <c r="H112" s="1">
        <f t="shared" si="7"/>
        <v>0</v>
      </c>
    </row>
    <row r="113" spans="1:8" x14ac:dyDescent="0.3">
      <c r="A113" s="2">
        <v>104</v>
      </c>
      <c r="B113" s="3">
        <f t="shared" si="6"/>
        <v>-0.29966329966330119</v>
      </c>
      <c r="D113" s="1">
        <f t="shared" si="7"/>
        <v>0</v>
      </c>
      <c r="E113" s="1">
        <f t="shared" si="7"/>
        <v>0.74915824915825291</v>
      </c>
      <c r="F113" s="1">
        <f t="shared" si="7"/>
        <v>0.25084175084174709</v>
      </c>
      <c r="G113" s="1">
        <f t="shared" si="7"/>
        <v>0</v>
      </c>
      <c r="H113" s="1">
        <f t="shared" si="7"/>
        <v>0</v>
      </c>
    </row>
    <row r="114" spans="1:8" x14ac:dyDescent="0.3">
      <c r="A114" s="2">
        <v>105</v>
      </c>
      <c r="B114" s="3">
        <f t="shared" si="6"/>
        <v>-0.29292929292929443</v>
      </c>
      <c r="D114" s="1">
        <f t="shared" si="7"/>
        <v>0</v>
      </c>
      <c r="E114" s="1">
        <f t="shared" si="7"/>
        <v>0.73232323232323604</v>
      </c>
      <c r="F114" s="1">
        <f t="shared" si="7"/>
        <v>0.26767676767676396</v>
      </c>
      <c r="G114" s="1">
        <f t="shared" si="7"/>
        <v>0</v>
      </c>
      <c r="H114" s="1">
        <f t="shared" si="7"/>
        <v>0</v>
      </c>
    </row>
    <row r="115" spans="1:8" x14ac:dyDescent="0.3">
      <c r="A115" s="2">
        <v>106</v>
      </c>
      <c r="B115" s="3">
        <f t="shared" si="6"/>
        <v>-0.28619528619528767</v>
      </c>
      <c r="D115" s="1">
        <f t="shared" si="7"/>
        <v>0</v>
      </c>
      <c r="E115" s="1">
        <f t="shared" si="7"/>
        <v>0.71548821548821917</v>
      </c>
      <c r="F115" s="1">
        <f t="shared" si="7"/>
        <v>0.28451178451178089</v>
      </c>
      <c r="G115" s="1">
        <f t="shared" si="7"/>
        <v>0</v>
      </c>
      <c r="H115" s="1">
        <f t="shared" si="7"/>
        <v>0</v>
      </c>
    </row>
    <row r="116" spans="1:8" x14ac:dyDescent="0.3">
      <c r="A116" s="2">
        <v>107</v>
      </c>
      <c r="B116" s="3">
        <f t="shared" si="6"/>
        <v>-0.27946127946128091</v>
      </c>
      <c r="D116" s="1">
        <f t="shared" si="7"/>
        <v>0</v>
      </c>
      <c r="E116" s="1">
        <f t="shared" si="7"/>
        <v>0.69865319865320219</v>
      </c>
      <c r="F116" s="1">
        <f t="shared" si="7"/>
        <v>0.30134680134679775</v>
      </c>
      <c r="G116" s="1">
        <f t="shared" si="7"/>
        <v>0</v>
      </c>
      <c r="H116" s="1">
        <f t="shared" si="7"/>
        <v>0</v>
      </c>
    </row>
    <row r="117" spans="1:8" x14ac:dyDescent="0.3">
      <c r="A117" s="2">
        <v>108</v>
      </c>
      <c r="B117" s="3">
        <f t="shared" si="6"/>
        <v>-0.27272727272727415</v>
      </c>
      <c r="D117" s="1">
        <f t="shared" si="7"/>
        <v>0</v>
      </c>
      <c r="E117" s="1">
        <f t="shared" si="7"/>
        <v>0.68181818181818532</v>
      </c>
      <c r="F117" s="1">
        <f t="shared" si="7"/>
        <v>0.31818181818181468</v>
      </c>
      <c r="G117" s="1">
        <f t="shared" si="7"/>
        <v>0</v>
      </c>
      <c r="H117" s="1">
        <f t="shared" si="7"/>
        <v>0</v>
      </c>
    </row>
    <row r="118" spans="1:8" x14ac:dyDescent="0.3">
      <c r="A118" s="2">
        <v>109</v>
      </c>
      <c r="B118" s="3">
        <f t="shared" si="6"/>
        <v>-0.26599326599326739</v>
      </c>
      <c r="D118" s="1">
        <f t="shared" si="7"/>
        <v>0</v>
      </c>
      <c r="E118" s="1">
        <f t="shared" si="7"/>
        <v>0.66498316498316845</v>
      </c>
      <c r="F118" s="1">
        <f t="shared" si="7"/>
        <v>0.33501683501683155</v>
      </c>
      <c r="G118" s="1">
        <f t="shared" si="7"/>
        <v>0</v>
      </c>
      <c r="H118" s="1">
        <f t="shared" si="7"/>
        <v>0</v>
      </c>
    </row>
    <row r="119" spans="1:8" x14ac:dyDescent="0.3">
      <c r="A119" s="2">
        <v>110</v>
      </c>
      <c r="B119" s="3">
        <f t="shared" si="6"/>
        <v>-0.25925925925926063</v>
      </c>
      <c r="D119" s="1">
        <f t="shared" si="7"/>
        <v>0</v>
      </c>
      <c r="E119" s="1">
        <f t="shared" si="7"/>
        <v>0.64814814814815158</v>
      </c>
      <c r="F119" s="1">
        <f t="shared" si="7"/>
        <v>0.35185185185184847</v>
      </c>
      <c r="G119" s="1">
        <f t="shared" si="7"/>
        <v>0</v>
      </c>
      <c r="H119" s="1">
        <f t="shared" si="7"/>
        <v>0</v>
      </c>
    </row>
    <row r="120" spans="1:8" x14ac:dyDescent="0.3">
      <c r="A120" s="2">
        <v>111</v>
      </c>
      <c r="B120" s="3">
        <f t="shared" si="6"/>
        <v>-0.25252525252525387</v>
      </c>
      <c r="D120" s="1">
        <f t="shared" si="7"/>
        <v>0</v>
      </c>
      <c r="E120" s="1">
        <f t="shared" si="7"/>
        <v>0.6313131313131346</v>
      </c>
      <c r="F120" s="1">
        <f t="shared" si="7"/>
        <v>0.36868686868686534</v>
      </c>
      <c r="G120" s="1">
        <f t="shared" si="7"/>
        <v>0</v>
      </c>
      <c r="H120" s="1">
        <f t="shared" si="7"/>
        <v>0</v>
      </c>
    </row>
    <row r="121" spans="1:8" x14ac:dyDescent="0.3">
      <c r="A121" s="2">
        <v>112</v>
      </c>
      <c r="B121" s="3">
        <f t="shared" si="6"/>
        <v>-0.24579124579124714</v>
      </c>
      <c r="D121" s="1">
        <f t="shared" si="7"/>
        <v>0</v>
      </c>
      <c r="E121" s="1">
        <f t="shared" si="7"/>
        <v>0.61447811447811784</v>
      </c>
      <c r="F121" s="1">
        <f t="shared" si="7"/>
        <v>0.38552188552188216</v>
      </c>
      <c r="G121" s="1">
        <f t="shared" si="7"/>
        <v>0</v>
      </c>
      <c r="H121" s="1">
        <f t="shared" si="7"/>
        <v>0</v>
      </c>
    </row>
    <row r="122" spans="1:8" x14ac:dyDescent="0.3">
      <c r="A122" s="2">
        <v>113</v>
      </c>
      <c r="B122" s="3">
        <f t="shared" si="6"/>
        <v>-0.23905723905724041</v>
      </c>
      <c r="D122" s="1">
        <f t="shared" si="7"/>
        <v>0</v>
      </c>
      <c r="E122" s="1">
        <f t="shared" si="7"/>
        <v>0.59764309764310097</v>
      </c>
      <c r="F122" s="1">
        <f t="shared" si="7"/>
        <v>0.40235690235689903</v>
      </c>
      <c r="G122" s="1">
        <f t="shared" si="7"/>
        <v>0</v>
      </c>
      <c r="H122" s="1">
        <f t="shared" si="7"/>
        <v>0</v>
      </c>
    </row>
    <row r="123" spans="1:8" x14ac:dyDescent="0.3">
      <c r="A123" s="2">
        <v>114</v>
      </c>
      <c r="B123" s="3">
        <f t="shared" si="6"/>
        <v>-0.23232323232323368</v>
      </c>
      <c r="D123" s="1">
        <f t="shared" si="7"/>
        <v>0</v>
      </c>
      <c r="E123" s="1">
        <f t="shared" si="7"/>
        <v>0.58080808080808422</v>
      </c>
      <c r="F123" s="1">
        <f t="shared" si="7"/>
        <v>0.41919191919191584</v>
      </c>
      <c r="G123" s="1">
        <f t="shared" si="7"/>
        <v>0</v>
      </c>
      <c r="H123" s="1">
        <f t="shared" si="7"/>
        <v>0</v>
      </c>
    </row>
    <row r="124" spans="1:8" x14ac:dyDescent="0.3">
      <c r="A124" s="2">
        <v>115</v>
      </c>
      <c r="B124" s="3">
        <f t="shared" si="6"/>
        <v>-0.22558922558922695</v>
      </c>
      <c r="D124" s="1">
        <f t="shared" si="7"/>
        <v>0</v>
      </c>
      <c r="E124" s="1">
        <f t="shared" si="7"/>
        <v>0.56397306397306735</v>
      </c>
      <c r="F124" s="1">
        <f t="shared" si="7"/>
        <v>0.43602693602693265</v>
      </c>
      <c r="G124" s="1">
        <f t="shared" si="7"/>
        <v>0</v>
      </c>
      <c r="H124" s="1">
        <f t="shared" si="7"/>
        <v>0</v>
      </c>
    </row>
    <row r="125" spans="1:8" x14ac:dyDescent="0.3">
      <c r="A125" s="2">
        <v>116</v>
      </c>
      <c r="B125" s="3">
        <f t="shared" si="6"/>
        <v>-0.21885521885522022</v>
      </c>
      <c r="D125" s="1">
        <f t="shared" si="7"/>
        <v>0</v>
      </c>
      <c r="E125" s="1">
        <f t="shared" si="7"/>
        <v>0.54713804713805048</v>
      </c>
      <c r="F125" s="1">
        <f t="shared" si="7"/>
        <v>0.45286195286194947</v>
      </c>
      <c r="G125" s="1">
        <f t="shared" si="7"/>
        <v>0</v>
      </c>
      <c r="H125" s="1">
        <f t="shared" si="7"/>
        <v>0</v>
      </c>
    </row>
    <row r="126" spans="1:8" x14ac:dyDescent="0.3">
      <c r="A126" s="2">
        <v>117</v>
      </c>
      <c r="B126" s="3">
        <f t="shared" si="6"/>
        <v>-0.21212121212121349</v>
      </c>
      <c r="D126" s="1">
        <f t="shared" si="7"/>
        <v>0</v>
      </c>
      <c r="E126" s="1">
        <f t="shared" si="7"/>
        <v>0.53030303030303372</v>
      </c>
      <c r="F126" s="1">
        <f t="shared" si="7"/>
        <v>0.46969696969696634</v>
      </c>
      <c r="G126" s="1">
        <f t="shared" si="7"/>
        <v>0</v>
      </c>
      <c r="H126" s="1">
        <f t="shared" si="7"/>
        <v>0</v>
      </c>
    </row>
    <row r="127" spans="1:8" x14ac:dyDescent="0.3">
      <c r="A127" s="2">
        <v>118</v>
      </c>
      <c r="B127" s="3">
        <f t="shared" si="6"/>
        <v>-0.20538720538720676</v>
      </c>
      <c r="D127" s="1">
        <f t="shared" si="7"/>
        <v>0</v>
      </c>
      <c r="E127" s="1">
        <f t="shared" si="7"/>
        <v>0.51346801346801685</v>
      </c>
      <c r="F127" s="1">
        <f t="shared" si="7"/>
        <v>0.48653198653198315</v>
      </c>
      <c r="G127" s="1">
        <f t="shared" si="7"/>
        <v>0</v>
      </c>
      <c r="H127" s="1">
        <f t="shared" si="7"/>
        <v>0</v>
      </c>
    </row>
    <row r="128" spans="1:8" x14ac:dyDescent="0.3">
      <c r="A128" s="2">
        <v>119</v>
      </c>
      <c r="B128" s="3">
        <f t="shared" si="6"/>
        <v>-0.19865319865320002</v>
      </c>
      <c r="D128" s="1">
        <f t="shared" si="7"/>
        <v>0</v>
      </c>
      <c r="E128" s="1">
        <f t="shared" si="7"/>
        <v>0.49663299663300003</v>
      </c>
      <c r="F128" s="1">
        <f t="shared" si="7"/>
        <v>0.50336700336699991</v>
      </c>
      <c r="G128" s="1">
        <f t="shared" si="7"/>
        <v>0</v>
      </c>
      <c r="H128" s="1">
        <f t="shared" si="7"/>
        <v>0</v>
      </c>
    </row>
    <row r="129" spans="1:8" x14ac:dyDescent="0.3">
      <c r="A129" s="2">
        <v>120</v>
      </c>
      <c r="B129" s="3">
        <f t="shared" si="6"/>
        <v>-0.19191919191919329</v>
      </c>
      <c r="D129" s="1">
        <f t="shared" si="7"/>
        <v>0</v>
      </c>
      <c r="E129" s="1">
        <f t="shared" si="7"/>
        <v>0.47979797979798322</v>
      </c>
      <c r="F129" s="1">
        <f t="shared" si="7"/>
        <v>0.52020202020201678</v>
      </c>
      <c r="G129" s="1">
        <f t="shared" si="7"/>
        <v>0</v>
      </c>
      <c r="H129" s="1">
        <f t="shared" si="7"/>
        <v>0</v>
      </c>
    </row>
    <row r="130" spans="1:8" x14ac:dyDescent="0.3">
      <c r="A130" s="2">
        <v>121</v>
      </c>
      <c r="B130" s="3">
        <f t="shared" si="6"/>
        <v>-0.18518518518518656</v>
      </c>
      <c r="D130" s="1">
        <f t="shared" si="7"/>
        <v>0</v>
      </c>
      <c r="E130" s="1">
        <f t="shared" si="7"/>
        <v>0.46296296296296641</v>
      </c>
      <c r="F130" s="1">
        <f t="shared" si="7"/>
        <v>0.53703703703703365</v>
      </c>
      <c r="G130" s="1">
        <f t="shared" si="7"/>
        <v>0</v>
      </c>
      <c r="H130" s="1">
        <f t="shared" si="7"/>
        <v>0</v>
      </c>
    </row>
    <row r="131" spans="1:8" x14ac:dyDescent="0.3">
      <c r="A131" s="2">
        <v>122</v>
      </c>
      <c r="B131" s="3">
        <f t="shared" si="6"/>
        <v>-0.17845117845117983</v>
      </c>
      <c r="D131" s="1">
        <f t="shared" si="7"/>
        <v>0</v>
      </c>
      <c r="E131" s="1">
        <f t="shared" si="7"/>
        <v>0.44612794612794954</v>
      </c>
      <c r="F131" s="1">
        <f t="shared" si="7"/>
        <v>0.55387205387205041</v>
      </c>
      <c r="G131" s="1">
        <f t="shared" si="7"/>
        <v>0</v>
      </c>
      <c r="H131" s="1">
        <f t="shared" si="7"/>
        <v>0</v>
      </c>
    </row>
    <row r="132" spans="1:8" x14ac:dyDescent="0.3">
      <c r="A132" s="2">
        <v>123</v>
      </c>
      <c r="B132" s="3">
        <f t="shared" si="6"/>
        <v>-0.1717171717171731</v>
      </c>
      <c r="D132" s="1">
        <f t="shared" si="7"/>
        <v>0</v>
      </c>
      <c r="E132" s="1">
        <f t="shared" si="7"/>
        <v>0.42929292929293272</v>
      </c>
      <c r="F132" s="1">
        <f t="shared" si="7"/>
        <v>0.57070707070706728</v>
      </c>
      <c r="G132" s="1">
        <f t="shared" si="7"/>
        <v>0</v>
      </c>
      <c r="H132" s="1">
        <f t="shared" si="7"/>
        <v>0</v>
      </c>
    </row>
    <row r="133" spans="1:8" x14ac:dyDescent="0.3">
      <c r="A133" s="2">
        <v>124</v>
      </c>
      <c r="B133" s="3">
        <f t="shared" si="6"/>
        <v>-0.16498316498316637</v>
      </c>
      <c r="D133" s="1">
        <f t="shared" si="7"/>
        <v>0</v>
      </c>
      <c r="E133" s="1">
        <f t="shared" si="7"/>
        <v>0.41245791245791591</v>
      </c>
      <c r="F133" s="1">
        <f t="shared" si="7"/>
        <v>0.58754208754208415</v>
      </c>
      <c r="G133" s="1">
        <f t="shared" si="7"/>
        <v>0</v>
      </c>
      <c r="H133" s="1">
        <f t="shared" si="7"/>
        <v>0</v>
      </c>
    </row>
    <row r="134" spans="1:8" x14ac:dyDescent="0.3">
      <c r="A134" s="2">
        <v>125</v>
      </c>
      <c r="B134" s="3">
        <f t="shared" si="6"/>
        <v>-0.15824915824915964</v>
      </c>
      <c r="D134" s="1">
        <f t="shared" si="7"/>
        <v>0</v>
      </c>
      <c r="E134" s="1">
        <f t="shared" si="7"/>
        <v>0.3956228956228991</v>
      </c>
      <c r="F134" s="1">
        <f t="shared" si="7"/>
        <v>0.6043771043771009</v>
      </c>
      <c r="G134" s="1">
        <f t="shared" si="7"/>
        <v>0</v>
      </c>
      <c r="H134" s="1">
        <f t="shared" si="7"/>
        <v>0</v>
      </c>
    </row>
    <row r="135" spans="1:8" x14ac:dyDescent="0.3">
      <c r="A135" s="2">
        <v>126</v>
      </c>
      <c r="B135" s="3">
        <f t="shared" si="6"/>
        <v>-0.15151515151515291</v>
      </c>
      <c r="D135" s="1">
        <f t="shared" si="7"/>
        <v>0</v>
      </c>
      <c r="E135" s="1">
        <f t="shared" si="7"/>
        <v>0.37878787878788223</v>
      </c>
      <c r="F135" s="1">
        <f t="shared" si="7"/>
        <v>0.62121212121211777</v>
      </c>
      <c r="G135" s="1">
        <f t="shared" si="7"/>
        <v>0</v>
      </c>
      <c r="H135" s="1">
        <f t="shared" si="7"/>
        <v>0</v>
      </c>
    </row>
    <row r="136" spans="1:8" x14ac:dyDescent="0.3">
      <c r="A136" s="2">
        <v>127</v>
      </c>
      <c r="B136" s="3">
        <f t="shared" si="6"/>
        <v>-0.14478114478114618</v>
      </c>
      <c r="D136" s="1">
        <f t="shared" si="7"/>
        <v>0</v>
      </c>
      <c r="E136" s="1">
        <f t="shared" si="7"/>
        <v>0.36195286195286541</v>
      </c>
      <c r="F136" s="1">
        <f t="shared" si="7"/>
        <v>0.63804713804713453</v>
      </c>
      <c r="G136" s="1">
        <f t="shared" si="7"/>
        <v>0</v>
      </c>
      <c r="H136" s="1">
        <f t="shared" si="7"/>
        <v>0</v>
      </c>
    </row>
    <row r="137" spans="1:8" x14ac:dyDescent="0.3">
      <c r="A137" s="2">
        <v>128</v>
      </c>
      <c r="B137" s="3">
        <f t="shared" si="6"/>
        <v>-0.13804713804713944</v>
      </c>
      <c r="D137" s="1">
        <f t="shared" si="7"/>
        <v>0</v>
      </c>
      <c r="E137" s="1">
        <f t="shared" si="7"/>
        <v>0.3451178451178486</v>
      </c>
      <c r="F137" s="1">
        <f t="shared" si="7"/>
        <v>0.65488215488215151</v>
      </c>
      <c r="G137" s="1">
        <f t="shared" si="7"/>
        <v>0</v>
      </c>
      <c r="H137" s="1">
        <f t="shared" si="7"/>
        <v>0</v>
      </c>
    </row>
    <row r="138" spans="1:8" x14ac:dyDescent="0.3">
      <c r="A138" s="2">
        <v>129</v>
      </c>
      <c r="B138" s="3">
        <f t="shared" si="6"/>
        <v>-0.13131313131313271</v>
      </c>
      <c r="D138" s="1">
        <f t="shared" si="7"/>
        <v>0</v>
      </c>
      <c r="E138" s="1">
        <f t="shared" si="7"/>
        <v>0.32828282828283178</v>
      </c>
      <c r="F138" s="1">
        <f t="shared" si="7"/>
        <v>0.67171717171716827</v>
      </c>
      <c r="G138" s="1">
        <f t="shared" si="7"/>
        <v>0</v>
      </c>
      <c r="H138" s="1">
        <f t="shared" si="7"/>
        <v>0</v>
      </c>
    </row>
    <row r="139" spans="1:8" x14ac:dyDescent="0.3">
      <c r="A139" s="2">
        <v>130</v>
      </c>
      <c r="B139" s="3">
        <f t="shared" ref="B139:B202" si="8">B138+((B$306-B$9)/297)</f>
        <v>-0.12457912457912598</v>
      </c>
      <c r="D139" s="1">
        <f t="shared" si="7"/>
        <v>0</v>
      </c>
      <c r="E139" s="1">
        <f t="shared" si="7"/>
        <v>0.31144781144781492</v>
      </c>
      <c r="F139" s="1">
        <f t="shared" si="7"/>
        <v>0.68855218855218503</v>
      </c>
      <c r="G139" s="1">
        <f t="shared" si="7"/>
        <v>0</v>
      </c>
      <c r="H139" s="1">
        <f t="shared" si="7"/>
        <v>0</v>
      </c>
    </row>
    <row r="140" spans="1:8" x14ac:dyDescent="0.3">
      <c r="A140" s="2">
        <v>131</v>
      </c>
      <c r="B140" s="3">
        <f t="shared" si="8"/>
        <v>-0.11784511784511925</v>
      </c>
      <c r="D140" s="1">
        <f t="shared" si="7"/>
        <v>0</v>
      </c>
      <c r="E140" s="1">
        <f t="shared" si="7"/>
        <v>0.2946127946127981</v>
      </c>
      <c r="F140" s="1">
        <f t="shared" si="7"/>
        <v>0.7053872053872019</v>
      </c>
      <c r="G140" s="1">
        <f t="shared" si="7"/>
        <v>0</v>
      </c>
      <c r="H140" s="1">
        <f t="shared" si="7"/>
        <v>0</v>
      </c>
    </row>
    <row r="141" spans="1:8" x14ac:dyDescent="0.3">
      <c r="A141" s="2">
        <v>132</v>
      </c>
      <c r="B141" s="3">
        <f t="shared" si="8"/>
        <v>-0.11111111111111252</v>
      </c>
      <c r="D141" s="1">
        <f t="shared" ref="D141:H172" si="9">IF($B141&gt;D$5,0,IF($B141&gt;D$4,(D$5-$B141)/(D$5-D$4),IF($B141&gt;D$3,1,IF($B141&gt;D$2,($B141-D$2)/(D$3-D$2),0))))</f>
        <v>0</v>
      </c>
      <c r="E141" s="1">
        <f t="shared" si="9"/>
        <v>0.27777777777778129</v>
      </c>
      <c r="F141" s="1">
        <f t="shared" si="9"/>
        <v>0.72222222222221877</v>
      </c>
      <c r="G141" s="1">
        <f t="shared" si="9"/>
        <v>0</v>
      </c>
      <c r="H141" s="1">
        <f t="shared" si="9"/>
        <v>0</v>
      </c>
    </row>
    <row r="142" spans="1:8" x14ac:dyDescent="0.3">
      <c r="A142" s="2">
        <v>133</v>
      </c>
      <c r="B142" s="3">
        <f t="shared" si="8"/>
        <v>-0.10437710437710579</v>
      </c>
      <c r="D142" s="1">
        <f t="shared" si="9"/>
        <v>0</v>
      </c>
      <c r="E142" s="1">
        <f t="shared" si="9"/>
        <v>0.26094276094276447</v>
      </c>
      <c r="F142" s="1">
        <f t="shared" si="9"/>
        <v>0.73905723905723553</v>
      </c>
      <c r="G142" s="1">
        <f t="shared" si="9"/>
        <v>0</v>
      </c>
      <c r="H142" s="1">
        <f t="shared" si="9"/>
        <v>0</v>
      </c>
    </row>
    <row r="143" spans="1:8" x14ac:dyDescent="0.3">
      <c r="A143" s="2">
        <v>134</v>
      </c>
      <c r="B143" s="3">
        <f t="shared" si="8"/>
        <v>-9.7643097643099058E-2</v>
      </c>
      <c r="D143" s="1">
        <f t="shared" si="9"/>
        <v>0</v>
      </c>
      <c r="E143" s="1">
        <f t="shared" si="9"/>
        <v>0.24410774410774763</v>
      </c>
      <c r="F143" s="1">
        <f t="shared" si="9"/>
        <v>0.75589225589225228</v>
      </c>
      <c r="G143" s="1">
        <f t="shared" si="9"/>
        <v>0</v>
      </c>
      <c r="H143" s="1">
        <f t="shared" si="9"/>
        <v>0</v>
      </c>
    </row>
    <row r="144" spans="1:8" x14ac:dyDescent="0.3">
      <c r="A144" s="2">
        <v>135</v>
      </c>
      <c r="B144" s="3">
        <f t="shared" si="8"/>
        <v>-9.0909090909092327E-2</v>
      </c>
      <c r="D144" s="1">
        <f t="shared" si="9"/>
        <v>0</v>
      </c>
      <c r="E144" s="1">
        <f t="shared" si="9"/>
        <v>0.22727272727273082</v>
      </c>
      <c r="F144" s="1">
        <f t="shared" si="9"/>
        <v>0.77272727272726915</v>
      </c>
      <c r="G144" s="1">
        <f t="shared" si="9"/>
        <v>0</v>
      </c>
      <c r="H144" s="1">
        <f t="shared" si="9"/>
        <v>0</v>
      </c>
    </row>
    <row r="145" spans="1:8" x14ac:dyDescent="0.3">
      <c r="A145" s="2">
        <v>136</v>
      </c>
      <c r="B145" s="3">
        <f t="shared" si="8"/>
        <v>-8.4175084175085596E-2</v>
      </c>
      <c r="D145" s="1">
        <f t="shared" si="9"/>
        <v>0</v>
      </c>
      <c r="E145" s="1">
        <f t="shared" si="9"/>
        <v>0.21043771043771398</v>
      </c>
      <c r="F145" s="1">
        <f t="shared" si="9"/>
        <v>0.78956228956228613</v>
      </c>
      <c r="G145" s="1">
        <f t="shared" si="9"/>
        <v>0</v>
      </c>
      <c r="H145" s="1">
        <f t="shared" si="9"/>
        <v>0</v>
      </c>
    </row>
    <row r="146" spans="1:8" x14ac:dyDescent="0.3">
      <c r="A146" s="2">
        <v>137</v>
      </c>
      <c r="B146" s="3">
        <f t="shared" si="8"/>
        <v>-7.7441077441078865E-2</v>
      </c>
      <c r="D146" s="1">
        <f t="shared" si="9"/>
        <v>0</v>
      </c>
      <c r="E146" s="1">
        <f t="shared" si="9"/>
        <v>0.19360269360269716</v>
      </c>
      <c r="F146" s="9">
        <f t="shared" si="9"/>
        <v>0.80639730639730289</v>
      </c>
      <c r="G146" s="1">
        <f t="shared" si="9"/>
        <v>0</v>
      </c>
      <c r="H146" s="1">
        <f t="shared" si="9"/>
        <v>0</v>
      </c>
    </row>
    <row r="147" spans="1:8" x14ac:dyDescent="0.3">
      <c r="A147" s="2">
        <v>138</v>
      </c>
      <c r="B147" s="3">
        <f t="shared" si="8"/>
        <v>-7.0707070707072134E-2</v>
      </c>
      <c r="D147" s="1">
        <f t="shared" si="9"/>
        <v>0</v>
      </c>
      <c r="E147" s="1">
        <f t="shared" si="9"/>
        <v>0.17676767676768032</v>
      </c>
      <c r="F147" s="9">
        <f t="shared" si="9"/>
        <v>0.82323232323231965</v>
      </c>
      <c r="G147" s="1">
        <f t="shared" si="9"/>
        <v>0</v>
      </c>
      <c r="H147" s="1">
        <f t="shared" si="9"/>
        <v>0</v>
      </c>
    </row>
    <row r="148" spans="1:8" x14ac:dyDescent="0.3">
      <c r="A148" s="2">
        <v>139</v>
      </c>
      <c r="B148" s="3">
        <f t="shared" si="8"/>
        <v>-6.3973063973065403E-2</v>
      </c>
      <c r="D148" s="1">
        <f t="shared" si="9"/>
        <v>0</v>
      </c>
      <c r="E148" s="1">
        <f t="shared" si="9"/>
        <v>0.15993265993266351</v>
      </c>
      <c r="F148" s="9">
        <f t="shared" si="9"/>
        <v>0.84006734006733652</v>
      </c>
      <c r="G148" s="1">
        <f t="shared" si="9"/>
        <v>0</v>
      </c>
      <c r="H148" s="1">
        <f t="shared" si="9"/>
        <v>0</v>
      </c>
    </row>
    <row r="149" spans="1:8" x14ac:dyDescent="0.3">
      <c r="A149" s="2">
        <v>140</v>
      </c>
      <c r="B149" s="3">
        <f t="shared" si="8"/>
        <v>-5.7239057239058672E-2</v>
      </c>
      <c r="D149" s="1">
        <f t="shared" si="9"/>
        <v>0</v>
      </c>
      <c r="E149" s="1">
        <f t="shared" si="9"/>
        <v>0.14309764309764667</v>
      </c>
      <c r="F149" s="9">
        <f t="shared" si="9"/>
        <v>0.85690235690235339</v>
      </c>
      <c r="G149" s="1">
        <f t="shared" si="9"/>
        <v>0</v>
      </c>
      <c r="H149" s="1">
        <f t="shared" si="9"/>
        <v>0</v>
      </c>
    </row>
    <row r="150" spans="1:8" x14ac:dyDescent="0.3">
      <c r="A150" s="2">
        <v>141</v>
      </c>
      <c r="B150" s="3">
        <f t="shared" si="8"/>
        <v>-5.050505050505194E-2</v>
      </c>
      <c r="D150" s="1">
        <f t="shared" si="9"/>
        <v>0</v>
      </c>
      <c r="E150" s="1">
        <f t="shared" si="9"/>
        <v>0.12626262626262985</v>
      </c>
      <c r="F150" s="9">
        <f t="shared" si="9"/>
        <v>0.87373737373737015</v>
      </c>
      <c r="G150" s="1">
        <f t="shared" si="9"/>
        <v>0</v>
      </c>
      <c r="H150" s="1">
        <f t="shared" si="9"/>
        <v>0</v>
      </c>
    </row>
    <row r="151" spans="1:8" x14ac:dyDescent="0.3">
      <c r="A151" s="2">
        <v>142</v>
      </c>
      <c r="B151" s="3">
        <f t="shared" si="8"/>
        <v>-4.3771043771045209E-2</v>
      </c>
      <c r="D151" s="1">
        <f t="shared" si="9"/>
        <v>0</v>
      </c>
      <c r="E151" s="1">
        <f t="shared" si="9"/>
        <v>0.10942760942761302</v>
      </c>
      <c r="F151" s="9">
        <f t="shared" si="9"/>
        <v>0.89057239057238691</v>
      </c>
      <c r="G151" s="1">
        <f t="shared" si="9"/>
        <v>0</v>
      </c>
      <c r="H151" s="1">
        <f t="shared" si="9"/>
        <v>0</v>
      </c>
    </row>
    <row r="152" spans="1:8" x14ac:dyDescent="0.3">
      <c r="A152" s="2">
        <v>143</v>
      </c>
      <c r="B152" s="3">
        <f t="shared" si="8"/>
        <v>-3.7037037037038478E-2</v>
      </c>
      <c r="D152" s="1">
        <f t="shared" si="9"/>
        <v>0</v>
      </c>
      <c r="E152" s="1">
        <f t="shared" si="9"/>
        <v>9.2592592592596196E-2</v>
      </c>
      <c r="F152" s="9">
        <f t="shared" si="9"/>
        <v>0.90740740740740378</v>
      </c>
      <c r="G152" s="1">
        <f t="shared" si="9"/>
        <v>0</v>
      </c>
      <c r="H152" s="1">
        <f t="shared" si="9"/>
        <v>0</v>
      </c>
    </row>
    <row r="153" spans="1:8" x14ac:dyDescent="0.3">
      <c r="A153" s="2">
        <v>144</v>
      </c>
      <c r="B153" s="3">
        <f t="shared" si="8"/>
        <v>-3.0303030303031744E-2</v>
      </c>
      <c r="D153" s="1">
        <f t="shared" si="9"/>
        <v>0</v>
      </c>
      <c r="E153" s="1">
        <f t="shared" si="9"/>
        <v>7.5757575757579354E-2</v>
      </c>
      <c r="F153" s="9">
        <f t="shared" si="9"/>
        <v>0.92424242424242076</v>
      </c>
      <c r="G153" s="1">
        <f t="shared" si="9"/>
        <v>0</v>
      </c>
      <c r="H153" s="1">
        <f t="shared" si="9"/>
        <v>0</v>
      </c>
    </row>
    <row r="154" spans="1:8" x14ac:dyDescent="0.3">
      <c r="A154" s="2">
        <v>145</v>
      </c>
      <c r="B154" s="3">
        <f t="shared" si="8"/>
        <v>-2.3569023569025009E-2</v>
      </c>
      <c r="D154" s="1">
        <f t="shared" si="9"/>
        <v>0</v>
      </c>
      <c r="E154" s="1">
        <f t="shared" si="9"/>
        <v>5.8922558922562519E-2</v>
      </c>
      <c r="F154" s="9">
        <f t="shared" si="9"/>
        <v>0.94107744107743752</v>
      </c>
      <c r="G154" s="1">
        <f t="shared" si="9"/>
        <v>0</v>
      </c>
      <c r="H154" s="1">
        <f t="shared" si="9"/>
        <v>0</v>
      </c>
    </row>
    <row r="155" spans="1:8" x14ac:dyDescent="0.3">
      <c r="A155" s="2">
        <v>146</v>
      </c>
      <c r="B155" s="3">
        <f t="shared" si="8"/>
        <v>-1.6835016835018275E-2</v>
      </c>
      <c r="D155" s="1">
        <f t="shared" si="9"/>
        <v>0</v>
      </c>
      <c r="E155" s="1">
        <f t="shared" si="9"/>
        <v>4.2087542087545685E-2</v>
      </c>
      <c r="F155" s="9">
        <f t="shared" si="9"/>
        <v>0.95791245791245438</v>
      </c>
      <c r="G155" s="1">
        <f t="shared" si="9"/>
        <v>0</v>
      </c>
      <c r="H155" s="1">
        <f t="shared" si="9"/>
        <v>0</v>
      </c>
    </row>
    <row r="156" spans="1:8" x14ac:dyDescent="0.3">
      <c r="A156" s="2">
        <v>147</v>
      </c>
      <c r="B156" s="3">
        <f t="shared" si="8"/>
        <v>-1.010101010101154E-2</v>
      </c>
      <c r="D156" s="1">
        <f t="shared" si="9"/>
        <v>0</v>
      </c>
      <c r="E156" s="1">
        <f t="shared" si="9"/>
        <v>2.525252525252885E-2</v>
      </c>
      <c r="F156" s="9">
        <f t="shared" si="9"/>
        <v>0.97474747474747114</v>
      </c>
      <c r="G156" s="1">
        <f t="shared" si="9"/>
        <v>0</v>
      </c>
      <c r="H156" s="1">
        <f t="shared" si="9"/>
        <v>0</v>
      </c>
    </row>
    <row r="157" spans="1:8" x14ac:dyDescent="0.3">
      <c r="A157" s="2">
        <v>148</v>
      </c>
      <c r="B157" s="3">
        <f t="shared" si="8"/>
        <v>-3.3670033670048062E-3</v>
      </c>
      <c r="D157" s="1">
        <f t="shared" si="9"/>
        <v>0</v>
      </c>
      <c r="E157" s="1">
        <f t="shared" si="9"/>
        <v>8.4175084175120152E-3</v>
      </c>
      <c r="F157" s="9">
        <f t="shared" si="9"/>
        <v>0.99158249158248801</v>
      </c>
      <c r="G157" s="1">
        <f t="shared" si="9"/>
        <v>0</v>
      </c>
      <c r="H157" s="1">
        <f t="shared" si="9"/>
        <v>0</v>
      </c>
    </row>
    <row r="158" spans="1:8" x14ac:dyDescent="0.3">
      <c r="A158" s="2">
        <v>149</v>
      </c>
      <c r="B158" s="3">
        <f t="shared" si="8"/>
        <v>3.3670033670019275E-3</v>
      </c>
      <c r="D158" s="1">
        <f t="shared" si="9"/>
        <v>0</v>
      </c>
      <c r="E158" s="1">
        <f t="shared" si="9"/>
        <v>0</v>
      </c>
      <c r="F158" s="9">
        <f t="shared" si="9"/>
        <v>0.99158249158249523</v>
      </c>
      <c r="G158" s="1">
        <f t="shared" si="9"/>
        <v>8.4175084175048178E-3</v>
      </c>
      <c r="H158" s="1">
        <f t="shared" si="9"/>
        <v>0</v>
      </c>
    </row>
    <row r="159" spans="1:8" x14ac:dyDescent="0.3">
      <c r="A159" s="2">
        <v>150</v>
      </c>
      <c r="B159" s="3">
        <f t="shared" si="8"/>
        <v>1.010101010100866E-2</v>
      </c>
      <c r="D159" s="1">
        <f t="shared" si="9"/>
        <v>0</v>
      </c>
      <c r="E159" s="1">
        <f t="shared" si="9"/>
        <v>0</v>
      </c>
      <c r="F159" s="9">
        <f t="shared" si="9"/>
        <v>0.97474747474747836</v>
      </c>
      <c r="G159" s="1">
        <f t="shared" si="9"/>
        <v>2.5252525252521651E-2</v>
      </c>
      <c r="H159" s="1">
        <f t="shared" si="9"/>
        <v>0</v>
      </c>
    </row>
    <row r="160" spans="1:8" x14ac:dyDescent="0.3">
      <c r="A160" s="2">
        <v>151</v>
      </c>
      <c r="B160" s="3">
        <f t="shared" si="8"/>
        <v>1.6835016835015395E-2</v>
      </c>
      <c r="D160" s="1">
        <f t="shared" si="9"/>
        <v>0</v>
      </c>
      <c r="E160" s="1">
        <f t="shared" si="9"/>
        <v>0</v>
      </c>
      <c r="F160" s="9">
        <f t="shared" si="9"/>
        <v>0.9579124579124616</v>
      </c>
      <c r="G160" s="1">
        <f t="shared" si="9"/>
        <v>4.2087542087538482E-2</v>
      </c>
      <c r="H160" s="1">
        <f t="shared" si="9"/>
        <v>0</v>
      </c>
    </row>
    <row r="161" spans="1:8" x14ac:dyDescent="0.3">
      <c r="A161" s="2">
        <v>152</v>
      </c>
      <c r="B161" s="3">
        <f t="shared" si="8"/>
        <v>2.3569023569022129E-2</v>
      </c>
      <c r="D161" s="1">
        <f t="shared" si="9"/>
        <v>0</v>
      </c>
      <c r="E161" s="1">
        <f t="shared" si="9"/>
        <v>0</v>
      </c>
      <c r="F161" s="9">
        <f t="shared" si="9"/>
        <v>0.94107744107744473</v>
      </c>
      <c r="G161" s="1">
        <f t="shared" si="9"/>
        <v>5.8922558922555324E-2</v>
      </c>
      <c r="H161" s="1">
        <f t="shared" si="9"/>
        <v>0</v>
      </c>
    </row>
    <row r="162" spans="1:8" x14ac:dyDescent="0.3">
      <c r="A162" s="2">
        <v>153</v>
      </c>
      <c r="B162" s="3">
        <f t="shared" si="8"/>
        <v>3.0303030303028864E-2</v>
      </c>
      <c r="D162" s="1">
        <f t="shared" si="9"/>
        <v>0</v>
      </c>
      <c r="E162" s="1">
        <f t="shared" si="9"/>
        <v>0</v>
      </c>
      <c r="F162" s="9">
        <f t="shared" si="9"/>
        <v>0.92424242424242775</v>
      </c>
      <c r="G162" s="1">
        <f t="shared" si="9"/>
        <v>7.5757575757572151E-2</v>
      </c>
      <c r="H162" s="1">
        <f t="shared" si="9"/>
        <v>0</v>
      </c>
    </row>
    <row r="163" spans="1:8" x14ac:dyDescent="0.3">
      <c r="A163" s="2">
        <v>154</v>
      </c>
      <c r="B163" s="3">
        <f t="shared" si="8"/>
        <v>3.7037037037035599E-2</v>
      </c>
      <c r="D163" s="1">
        <f t="shared" si="9"/>
        <v>0</v>
      </c>
      <c r="E163" s="1">
        <f t="shared" si="9"/>
        <v>0</v>
      </c>
      <c r="F163" s="9">
        <f t="shared" si="9"/>
        <v>0.90740740740741099</v>
      </c>
      <c r="G163" s="1">
        <f t="shared" si="9"/>
        <v>9.2592592592588993E-2</v>
      </c>
      <c r="H163" s="1">
        <f t="shared" si="9"/>
        <v>0</v>
      </c>
    </row>
    <row r="164" spans="1:8" x14ac:dyDescent="0.3">
      <c r="A164" s="2">
        <v>155</v>
      </c>
      <c r="B164" s="3">
        <f t="shared" si="8"/>
        <v>4.377104377104233E-2</v>
      </c>
      <c r="D164" s="1">
        <f t="shared" si="9"/>
        <v>0</v>
      </c>
      <c r="E164" s="1">
        <f t="shared" si="9"/>
        <v>0</v>
      </c>
      <c r="F164" s="9">
        <f t="shared" si="9"/>
        <v>0.89057239057239412</v>
      </c>
      <c r="G164" s="1">
        <f t="shared" si="9"/>
        <v>0.10942760942760582</v>
      </c>
      <c r="H164" s="1">
        <f t="shared" si="9"/>
        <v>0</v>
      </c>
    </row>
    <row r="165" spans="1:8" x14ac:dyDescent="0.3">
      <c r="A165" s="2">
        <v>156</v>
      </c>
      <c r="B165" s="3">
        <f t="shared" si="8"/>
        <v>5.0505050505049061E-2</v>
      </c>
      <c r="D165" s="1">
        <f t="shared" si="9"/>
        <v>0</v>
      </c>
      <c r="E165" s="1">
        <f t="shared" si="9"/>
        <v>0</v>
      </c>
      <c r="F165" s="9">
        <f t="shared" si="9"/>
        <v>0.87373737373737737</v>
      </c>
      <c r="G165" s="1">
        <f t="shared" si="9"/>
        <v>0.12626262626262263</v>
      </c>
      <c r="H165" s="1">
        <f t="shared" si="9"/>
        <v>0</v>
      </c>
    </row>
    <row r="166" spans="1:8" x14ac:dyDescent="0.3">
      <c r="A166" s="2">
        <v>157</v>
      </c>
      <c r="B166" s="3">
        <f t="shared" si="8"/>
        <v>5.7239057239055792E-2</v>
      </c>
      <c r="D166" s="1">
        <f t="shared" si="9"/>
        <v>0</v>
      </c>
      <c r="E166" s="1">
        <f t="shared" si="9"/>
        <v>0</v>
      </c>
      <c r="F166" s="9">
        <f t="shared" si="9"/>
        <v>0.8569023569023605</v>
      </c>
      <c r="G166" s="1">
        <f t="shared" si="9"/>
        <v>0.14309764309763948</v>
      </c>
      <c r="H166" s="1">
        <f t="shared" si="9"/>
        <v>0</v>
      </c>
    </row>
    <row r="167" spans="1:8" x14ac:dyDescent="0.3">
      <c r="A167" s="2">
        <v>158</v>
      </c>
      <c r="B167" s="3">
        <f t="shared" si="8"/>
        <v>6.397306397306253E-2</v>
      </c>
      <c r="D167" s="1">
        <f t="shared" si="9"/>
        <v>0</v>
      </c>
      <c r="E167" s="1">
        <f t="shared" si="9"/>
        <v>0</v>
      </c>
      <c r="F167" s="9">
        <f t="shared" si="9"/>
        <v>0.84006734006734374</v>
      </c>
      <c r="G167" s="1">
        <f t="shared" si="9"/>
        <v>0.15993265993265632</v>
      </c>
      <c r="H167" s="1">
        <f t="shared" si="9"/>
        <v>0</v>
      </c>
    </row>
    <row r="168" spans="1:8" x14ac:dyDescent="0.3">
      <c r="A168" s="2">
        <v>159</v>
      </c>
      <c r="B168" s="3">
        <f t="shared" si="8"/>
        <v>7.0707070707069261E-2</v>
      </c>
      <c r="D168" s="1">
        <f t="shared" si="9"/>
        <v>0</v>
      </c>
      <c r="E168" s="1">
        <f t="shared" si="9"/>
        <v>0</v>
      </c>
      <c r="F168" s="9">
        <f t="shared" si="9"/>
        <v>0.82323232323232687</v>
      </c>
      <c r="G168" s="1">
        <f t="shared" si="9"/>
        <v>0.17676767676767313</v>
      </c>
      <c r="H168" s="1">
        <f t="shared" si="9"/>
        <v>0</v>
      </c>
    </row>
    <row r="169" spans="1:8" x14ac:dyDescent="0.3">
      <c r="A169" s="2">
        <v>160</v>
      </c>
      <c r="B169" s="3">
        <f t="shared" si="8"/>
        <v>7.7441077441075992E-2</v>
      </c>
      <c r="D169" s="1">
        <f t="shared" si="9"/>
        <v>0</v>
      </c>
      <c r="E169" s="1">
        <f t="shared" si="9"/>
        <v>0</v>
      </c>
      <c r="F169" s="9">
        <f t="shared" si="9"/>
        <v>0.80639730639731011</v>
      </c>
      <c r="G169" s="1">
        <f t="shared" si="9"/>
        <v>0.19360269360268997</v>
      </c>
      <c r="H169" s="1">
        <f t="shared" si="9"/>
        <v>0</v>
      </c>
    </row>
    <row r="170" spans="1:8" x14ac:dyDescent="0.3">
      <c r="A170" s="2">
        <v>161</v>
      </c>
      <c r="B170" s="3">
        <f t="shared" si="8"/>
        <v>8.4175084175082723E-2</v>
      </c>
      <c r="D170" s="1">
        <f t="shared" si="9"/>
        <v>0</v>
      </c>
      <c r="E170" s="1">
        <f t="shared" si="9"/>
        <v>0</v>
      </c>
      <c r="F170" s="1">
        <f t="shared" si="9"/>
        <v>0.78956228956229313</v>
      </c>
      <c r="G170" s="1">
        <f t="shared" si="9"/>
        <v>0.21043771043770679</v>
      </c>
      <c r="H170" s="1">
        <f t="shared" si="9"/>
        <v>0</v>
      </c>
    </row>
    <row r="171" spans="1:8" x14ac:dyDescent="0.3">
      <c r="A171" s="2">
        <v>162</v>
      </c>
      <c r="B171" s="3">
        <f t="shared" si="8"/>
        <v>9.0909090909089454E-2</v>
      </c>
      <c r="D171" s="1">
        <f t="shared" si="9"/>
        <v>0</v>
      </c>
      <c r="E171" s="1">
        <f t="shared" si="9"/>
        <v>0</v>
      </c>
      <c r="F171" s="1">
        <f t="shared" si="9"/>
        <v>0.77272727272727637</v>
      </c>
      <c r="G171" s="1">
        <f t="shared" si="9"/>
        <v>0.22727272727272363</v>
      </c>
      <c r="H171" s="1">
        <f t="shared" si="9"/>
        <v>0</v>
      </c>
    </row>
    <row r="172" spans="1:8" x14ac:dyDescent="0.3">
      <c r="A172" s="2">
        <v>163</v>
      </c>
      <c r="B172" s="3">
        <f t="shared" si="8"/>
        <v>9.7643097643096186E-2</v>
      </c>
      <c r="D172" s="1">
        <f t="shared" si="9"/>
        <v>0</v>
      </c>
      <c r="E172" s="1">
        <f t="shared" si="9"/>
        <v>0</v>
      </c>
      <c r="F172" s="1">
        <f t="shared" si="9"/>
        <v>0.7558922558922595</v>
      </c>
      <c r="G172" s="1">
        <f t="shared" si="9"/>
        <v>0.24410774410774044</v>
      </c>
      <c r="H172" s="1">
        <f t="shared" si="9"/>
        <v>0</v>
      </c>
    </row>
    <row r="173" spans="1:8" x14ac:dyDescent="0.3">
      <c r="A173" s="2">
        <v>164</v>
      </c>
      <c r="B173" s="3">
        <f t="shared" si="8"/>
        <v>0.10437710437710292</v>
      </c>
      <c r="D173" s="1">
        <f t="shared" ref="D173:H204" si="10">IF($B173&gt;D$5,0,IF($B173&gt;D$4,(D$5-$B173)/(D$5-D$4),IF($B173&gt;D$3,1,IF($B173&gt;D$2,($B173-D$2)/(D$3-D$2),0))))</f>
        <v>0</v>
      </c>
      <c r="E173" s="1">
        <f t="shared" si="10"/>
        <v>0</v>
      </c>
      <c r="F173" s="1">
        <f t="shared" si="10"/>
        <v>0.73905723905724274</v>
      </c>
      <c r="G173" s="1">
        <f t="shared" si="10"/>
        <v>0.26094276094275726</v>
      </c>
      <c r="H173" s="1">
        <f t="shared" si="10"/>
        <v>0</v>
      </c>
    </row>
    <row r="174" spans="1:8" x14ac:dyDescent="0.3">
      <c r="A174" s="2">
        <v>165</v>
      </c>
      <c r="B174" s="3">
        <f t="shared" si="8"/>
        <v>0.11111111111110965</v>
      </c>
      <c r="D174" s="1">
        <f t="shared" si="10"/>
        <v>0</v>
      </c>
      <c r="E174" s="1">
        <f t="shared" si="10"/>
        <v>0</v>
      </c>
      <c r="F174" s="1">
        <f t="shared" si="10"/>
        <v>0.72222222222222587</v>
      </c>
      <c r="G174" s="1">
        <f t="shared" si="10"/>
        <v>0.27777777777777413</v>
      </c>
      <c r="H174" s="1">
        <f t="shared" si="10"/>
        <v>0</v>
      </c>
    </row>
    <row r="175" spans="1:8" x14ac:dyDescent="0.3">
      <c r="A175" s="2">
        <v>166</v>
      </c>
      <c r="B175" s="3">
        <f t="shared" si="8"/>
        <v>0.11784511784511638</v>
      </c>
      <c r="D175" s="1">
        <f t="shared" si="10"/>
        <v>0</v>
      </c>
      <c r="E175" s="1">
        <f t="shared" si="10"/>
        <v>0</v>
      </c>
      <c r="F175" s="1">
        <f t="shared" si="10"/>
        <v>0.70538720538720912</v>
      </c>
      <c r="G175" s="1">
        <f t="shared" si="10"/>
        <v>0.29461279461279094</v>
      </c>
      <c r="H175" s="1">
        <f t="shared" si="10"/>
        <v>0</v>
      </c>
    </row>
    <row r="176" spans="1:8" x14ac:dyDescent="0.3">
      <c r="A176" s="2">
        <v>167</v>
      </c>
      <c r="B176" s="3">
        <f t="shared" si="8"/>
        <v>0.12457912457912311</v>
      </c>
      <c r="D176" s="1">
        <f t="shared" si="10"/>
        <v>0</v>
      </c>
      <c r="E176" s="1">
        <f t="shared" si="10"/>
        <v>0</v>
      </c>
      <c r="F176" s="1">
        <f t="shared" si="10"/>
        <v>0.68855218855219225</v>
      </c>
      <c r="G176" s="1">
        <f t="shared" si="10"/>
        <v>0.31144781144780775</v>
      </c>
      <c r="H176" s="1">
        <f t="shared" si="10"/>
        <v>0</v>
      </c>
    </row>
    <row r="177" spans="1:8" x14ac:dyDescent="0.3">
      <c r="A177" s="2">
        <v>168</v>
      </c>
      <c r="B177" s="3">
        <f t="shared" si="8"/>
        <v>0.13131313131312985</v>
      </c>
      <c r="D177" s="1">
        <f t="shared" si="10"/>
        <v>0</v>
      </c>
      <c r="E177" s="1">
        <f t="shared" si="10"/>
        <v>0</v>
      </c>
      <c r="F177" s="1">
        <f t="shared" si="10"/>
        <v>0.67171717171717549</v>
      </c>
      <c r="G177" s="1">
        <f t="shared" si="10"/>
        <v>0.32828282828282462</v>
      </c>
      <c r="H177" s="1">
        <f t="shared" si="10"/>
        <v>0</v>
      </c>
    </row>
    <row r="178" spans="1:8" x14ac:dyDescent="0.3">
      <c r="A178" s="2">
        <v>169</v>
      </c>
      <c r="B178" s="3">
        <f t="shared" si="8"/>
        <v>0.13804713804713659</v>
      </c>
      <c r="D178" s="1">
        <f t="shared" si="10"/>
        <v>0</v>
      </c>
      <c r="E178" s="1">
        <f t="shared" si="10"/>
        <v>0</v>
      </c>
      <c r="F178" s="1">
        <f t="shared" si="10"/>
        <v>0.65488215488215851</v>
      </c>
      <c r="G178" s="1">
        <f t="shared" si="10"/>
        <v>0.34511784511784144</v>
      </c>
      <c r="H178" s="1">
        <f t="shared" si="10"/>
        <v>0</v>
      </c>
    </row>
    <row r="179" spans="1:8" x14ac:dyDescent="0.3">
      <c r="A179" s="2">
        <v>170</v>
      </c>
      <c r="B179" s="3">
        <f t="shared" si="8"/>
        <v>0.14478114478114332</v>
      </c>
      <c r="D179" s="1">
        <f t="shared" si="10"/>
        <v>0</v>
      </c>
      <c r="E179" s="1">
        <f t="shared" si="10"/>
        <v>0</v>
      </c>
      <c r="F179" s="1">
        <f t="shared" si="10"/>
        <v>0.63804713804714164</v>
      </c>
      <c r="G179" s="1">
        <f t="shared" si="10"/>
        <v>0.36195286195285825</v>
      </c>
      <c r="H179" s="1">
        <f t="shared" si="10"/>
        <v>0</v>
      </c>
    </row>
    <row r="180" spans="1:8" x14ac:dyDescent="0.3">
      <c r="A180" s="2">
        <v>171</v>
      </c>
      <c r="B180" s="3">
        <f t="shared" si="8"/>
        <v>0.15151515151515005</v>
      </c>
      <c r="D180" s="1">
        <f t="shared" si="10"/>
        <v>0</v>
      </c>
      <c r="E180" s="1">
        <f t="shared" si="10"/>
        <v>0</v>
      </c>
      <c r="F180" s="1">
        <f t="shared" si="10"/>
        <v>0.62121212121212488</v>
      </c>
      <c r="G180" s="1">
        <f t="shared" si="10"/>
        <v>0.37878787878787512</v>
      </c>
      <c r="H180" s="1">
        <f t="shared" si="10"/>
        <v>0</v>
      </c>
    </row>
    <row r="181" spans="1:8" x14ac:dyDescent="0.3">
      <c r="A181" s="2">
        <v>172</v>
      </c>
      <c r="B181" s="3">
        <f t="shared" si="8"/>
        <v>0.15824915824915678</v>
      </c>
      <c r="D181" s="1">
        <f t="shared" si="10"/>
        <v>0</v>
      </c>
      <c r="E181" s="1">
        <f t="shared" si="10"/>
        <v>0</v>
      </c>
      <c r="F181" s="1">
        <f t="shared" si="10"/>
        <v>0.60437710437710812</v>
      </c>
      <c r="G181" s="1">
        <f t="shared" si="10"/>
        <v>0.39562289562289193</v>
      </c>
      <c r="H181" s="1">
        <f t="shared" si="10"/>
        <v>0</v>
      </c>
    </row>
    <row r="182" spans="1:8" x14ac:dyDescent="0.3">
      <c r="A182" s="2">
        <v>173</v>
      </c>
      <c r="B182" s="3">
        <f t="shared" si="8"/>
        <v>0.16498316498316351</v>
      </c>
      <c r="D182" s="1">
        <f t="shared" si="10"/>
        <v>0</v>
      </c>
      <c r="E182" s="1">
        <f t="shared" si="10"/>
        <v>0</v>
      </c>
      <c r="F182" s="1">
        <f t="shared" si="10"/>
        <v>0.58754208754209125</v>
      </c>
      <c r="G182" s="1">
        <f t="shared" si="10"/>
        <v>0.41245791245790875</v>
      </c>
      <c r="H182" s="1">
        <f t="shared" si="10"/>
        <v>0</v>
      </c>
    </row>
    <row r="183" spans="1:8" x14ac:dyDescent="0.3">
      <c r="A183" s="2">
        <v>174</v>
      </c>
      <c r="B183" s="3">
        <f t="shared" si="8"/>
        <v>0.17171717171717024</v>
      </c>
      <c r="D183" s="1">
        <f t="shared" si="10"/>
        <v>0</v>
      </c>
      <c r="E183" s="1">
        <f t="shared" si="10"/>
        <v>0</v>
      </c>
      <c r="F183" s="1">
        <f t="shared" si="10"/>
        <v>0.57070707070707438</v>
      </c>
      <c r="G183" s="1">
        <f t="shared" si="10"/>
        <v>0.42929292929292556</v>
      </c>
      <c r="H183" s="1">
        <f t="shared" si="10"/>
        <v>0</v>
      </c>
    </row>
    <row r="184" spans="1:8" x14ac:dyDescent="0.3">
      <c r="A184" s="2">
        <v>175</v>
      </c>
      <c r="B184" s="3">
        <f t="shared" si="8"/>
        <v>0.17845117845117697</v>
      </c>
      <c r="D184" s="1">
        <f t="shared" si="10"/>
        <v>0</v>
      </c>
      <c r="E184" s="1">
        <f t="shared" si="10"/>
        <v>0</v>
      </c>
      <c r="F184" s="1">
        <f t="shared" si="10"/>
        <v>0.55387205387205762</v>
      </c>
      <c r="G184" s="1">
        <f t="shared" si="10"/>
        <v>0.44612794612794243</v>
      </c>
      <c r="H184" s="1">
        <f t="shared" si="10"/>
        <v>0</v>
      </c>
    </row>
    <row r="185" spans="1:8" x14ac:dyDescent="0.3">
      <c r="A185" s="2">
        <v>176</v>
      </c>
      <c r="B185" s="3">
        <f t="shared" si="8"/>
        <v>0.1851851851851837</v>
      </c>
      <c r="D185" s="1">
        <f t="shared" si="10"/>
        <v>0</v>
      </c>
      <c r="E185" s="1">
        <f t="shared" si="10"/>
        <v>0</v>
      </c>
      <c r="F185" s="1">
        <f t="shared" si="10"/>
        <v>0.53703703703704075</v>
      </c>
      <c r="G185" s="1">
        <f t="shared" si="10"/>
        <v>0.46296296296295925</v>
      </c>
      <c r="H185" s="1">
        <f t="shared" si="10"/>
        <v>0</v>
      </c>
    </row>
    <row r="186" spans="1:8" x14ac:dyDescent="0.3">
      <c r="A186" s="2">
        <v>177</v>
      </c>
      <c r="B186" s="3">
        <f t="shared" si="8"/>
        <v>0.19191919191919043</v>
      </c>
      <c r="D186" s="1">
        <f t="shared" si="10"/>
        <v>0</v>
      </c>
      <c r="E186" s="1">
        <f t="shared" si="10"/>
        <v>0</v>
      </c>
      <c r="F186" s="1">
        <f t="shared" si="10"/>
        <v>0.52020202020202388</v>
      </c>
      <c r="G186" s="1">
        <f t="shared" si="10"/>
        <v>0.47979797979797606</v>
      </c>
      <c r="H186" s="1">
        <f t="shared" si="10"/>
        <v>0</v>
      </c>
    </row>
    <row r="187" spans="1:8" x14ac:dyDescent="0.3">
      <c r="A187" s="2">
        <v>178</v>
      </c>
      <c r="B187" s="3">
        <f t="shared" si="8"/>
        <v>0.19865319865319717</v>
      </c>
      <c r="D187" s="1">
        <f t="shared" si="10"/>
        <v>0</v>
      </c>
      <c r="E187" s="1">
        <f t="shared" si="10"/>
        <v>0</v>
      </c>
      <c r="F187" s="1">
        <f t="shared" si="10"/>
        <v>0.50336700336700713</v>
      </c>
      <c r="G187" s="1">
        <f t="shared" si="10"/>
        <v>0.49663299663299287</v>
      </c>
      <c r="H187" s="1">
        <f t="shared" si="10"/>
        <v>0</v>
      </c>
    </row>
    <row r="188" spans="1:8" x14ac:dyDescent="0.3">
      <c r="A188" s="2">
        <v>179</v>
      </c>
      <c r="B188" s="3">
        <f t="shared" si="8"/>
        <v>0.2053872053872039</v>
      </c>
      <c r="D188" s="1">
        <f t="shared" si="10"/>
        <v>0</v>
      </c>
      <c r="E188" s="1">
        <f t="shared" si="10"/>
        <v>0</v>
      </c>
      <c r="F188" s="1">
        <f t="shared" si="10"/>
        <v>0.48653198653199031</v>
      </c>
      <c r="G188" s="1">
        <f t="shared" si="10"/>
        <v>0.51346801346800974</v>
      </c>
      <c r="H188" s="1">
        <f t="shared" si="10"/>
        <v>0</v>
      </c>
    </row>
    <row r="189" spans="1:8" x14ac:dyDescent="0.3">
      <c r="A189" s="2">
        <v>180</v>
      </c>
      <c r="B189" s="3">
        <f t="shared" si="8"/>
        <v>0.21212121212121063</v>
      </c>
      <c r="D189" s="1">
        <f t="shared" si="10"/>
        <v>0</v>
      </c>
      <c r="E189" s="1">
        <f t="shared" si="10"/>
        <v>0</v>
      </c>
      <c r="F189" s="1">
        <f t="shared" si="10"/>
        <v>0.46969696969697344</v>
      </c>
      <c r="G189" s="1">
        <f t="shared" si="10"/>
        <v>0.5303030303030265</v>
      </c>
      <c r="H189" s="1">
        <f t="shared" si="10"/>
        <v>0</v>
      </c>
    </row>
    <row r="190" spans="1:8" x14ac:dyDescent="0.3">
      <c r="A190" s="2">
        <v>181</v>
      </c>
      <c r="B190" s="3">
        <f t="shared" si="8"/>
        <v>0.21885521885521736</v>
      </c>
      <c r="D190" s="1">
        <f t="shared" si="10"/>
        <v>0</v>
      </c>
      <c r="E190" s="1">
        <f t="shared" si="10"/>
        <v>0</v>
      </c>
      <c r="F190" s="1">
        <f t="shared" si="10"/>
        <v>0.45286195286195663</v>
      </c>
      <c r="G190" s="1">
        <f t="shared" si="10"/>
        <v>0.54713804713804337</v>
      </c>
      <c r="H190" s="1">
        <f t="shared" si="10"/>
        <v>0</v>
      </c>
    </row>
    <row r="191" spans="1:8" x14ac:dyDescent="0.3">
      <c r="A191" s="2">
        <v>182</v>
      </c>
      <c r="B191" s="3">
        <f t="shared" si="8"/>
        <v>0.22558922558922409</v>
      </c>
      <c r="D191" s="1">
        <f t="shared" si="10"/>
        <v>0</v>
      </c>
      <c r="E191" s="1">
        <f t="shared" si="10"/>
        <v>0</v>
      </c>
      <c r="F191" s="1">
        <f t="shared" si="10"/>
        <v>0.43602693602693982</v>
      </c>
      <c r="G191" s="1">
        <f t="shared" si="10"/>
        <v>0.56397306397306024</v>
      </c>
      <c r="H191" s="1">
        <f t="shared" si="10"/>
        <v>0</v>
      </c>
    </row>
    <row r="192" spans="1:8" x14ac:dyDescent="0.3">
      <c r="A192" s="2">
        <v>183</v>
      </c>
      <c r="B192" s="3">
        <f t="shared" si="8"/>
        <v>0.23232323232323082</v>
      </c>
      <c r="D192" s="1">
        <f t="shared" si="10"/>
        <v>0</v>
      </c>
      <c r="E192" s="1">
        <f t="shared" si="10"/>
        <v>0</v>
      </c>
      <c r="F192" s="1">
        <f t="shared" si="10"/>
        <v>0.419191919191923</v>
      </c>
      <c r="G192" s="1">
        <f t="shared" si="10"/>
        <v>0.580808080808077</v>
      </c>
      <c r="H192" s="1">
        <f t="shared" si="10"/>
        <v>0</v>
      </c>
    </row>
    <row r="193" spans="1:8" x14ac:dyDescent="0.3">
      <c r="A193" s="2">
        <v>184</v>
      </c>
      <c r="B193" s="3">
        <f t="shared" si="8"/>
        <v>0.23905723905723755</v>
      </c>
      <c r="D193" s="1">
        <f t="shared" si="10"/>
        <v>0</v>
      </c>
      <c r="E193" s="1">
        <f t="shared" si="10"/>
        <v>0</v>
      </c>
      <c r="F193" s="1">
        <f t="shared" si="10"/>
        <v>0.40235690235690613</v>
      </c>
      <c r="G193" s="1">
        <f t="shared" si="10"/>
        <v>0.59764309764309387</v>
      </c>
      <c r="H193" s="1">
        <f t="shared" si="10"/>
        <v>0</v>
      </c>
    </row>
    <row r="194" spans="1:8" x14ac:dyDescent="0.3">
      <c r="A194" s="2">
        <v>185</v>
      </c>
      <c r="B194" s="3">
        <f t="shared" si="8"/>
        <v>0.24579124579124428</v>
      </c>
      <c r="D194" s="1">
        <f t="shared" si="10"/>
        <v>0</v>
      </c>
      <c r="E194" s="1">
        <f t="shared" si="10"/>
        <v>0</v>
      </c>
      <c r="F194" s="1">
        <f t="shared" si="10"/>
        <v>0.38552188552188932</v>
      </c>
      <c r="G194" s="1">
        <f t="shared" si="10"/>
        <v>0.61447811447811063</v>
      </c>
      <c r="H194" s="1">
        <f t="shared" si="10"/>
        <v>0</v>
      </c>
    </row>
    <row r="195" spans="1:8" x14ac:dyDescent="0.3">
      <c r="A195" s="2">
        <v>186</v>
      </c>
      <c r="B195" s="3">
        <f t="shared" si="8"/>
        <v>0.25252525252525104</v>
      </c>
      <c r="D195" s="1">
        <f t="shared" si="10"/>
        <v>0</v>
      </c>
      <c r="E195" s="1">
        <f t="shared" si="10"/>
        <v>0</v>
      </c>
      <c r="F195" s="1">
        <f t="shared" si="10"/>
        <v>0.36868686868687245</v>
      </c>
      <c r="G195" s="1">
        <f t="shared" si="10"/>
        <v>0.63131313131312761</v>
      </c>
      <c r="H195" s="1">
        <f t="shared" si="10"/>
        <v>0</v>
      </c>
    </row>
    <row r="196" spans="1:8" x14ac:dyDescent="0.3">
      <c r="A196" s="2">
        <v>187</v>
      </c>
      <c r="B196" s="3">
        <f t="shared" si="8"/>
        <v>0.2592592592592578</v>
      </c>
      <c r="D196" s="1">
        <f t="shared" si="10"/>
        <v>0</v>
      </c>
      <c r="E196" s="1">
        <f t="shared" si="10"/>
        <v>0</v>
      </c>
      <c r="F196" s="1">
        <f t="shared" si="10"/>
        <v>0.35185185185185552</v>
      </c>
      <c r="G196" s="1">
        <f t="shared" si="10"/>
        <v>0.64814814814814448</v>
      </c>
      <c r="H196" s="1">
        <f t="shared" si="10"/>
        <v>0</v>
      </c>
    </row>
    <row r="197" spans="1:8" x14ac:dyDescent="0.3">
      <c r="A197" s="2">
        <v>188</v>
      </c>
      <c r="B197" s="3">
        <f t="shared" si="8"/>
        <v>0.26599326599326456</v>
      </c>
      <c r="D197" s="1">
        <f t="shared" si="10"/>
        <v>0</v>
      </c>
      <c r="E197" s="1">
        <f t="shared" si="10"/>
        <v>0</v>
      </c>
      <c r="F197" s="1">
        <f t="shared" si="10"/>
        <v>0.33501683501683865</v>
      </c>
      <c r="G197" s="1">
        <f t="shared" si="10"/>
        <v>0.66498316498316135</v>
      </c>
      <c r="H197" s="1">
        <f t="shared" si="10"/>
        <v>0</v>
      </c>
    </row>
    <row r="198" spans="1:8" x14ac:dyDescent="0.3">
      <c r="A198" s="2">
        <v>189</v>
      </c>
      <c r="B198" s="3">
        <f t="shared" si="8"/>
        <v>0.27272727272727132</v>
      </c>
      <c r="D198" s="1">
        <f t="shared" si="10"/>
        <v>0</v>
      </c>
      <c r="E198" s="1">
        <f t="shared" si="10"/>
        <v>0</v>
      </c>
      <c r="F198" s="1">
        <f t="shared" si="10"/>
        <v>0.31818181818182173</v>
      </c>
      <c r="G198" s="1">
        <f t="shared" si="10"/>
        <v>0.68181818181817822</v>
      </c>
      <c r="H198" s="1">
        <f t="shared" si="10"/>
        <v>0</v>
      </c>
    </row>
    <row r="199" spans="1:8" x14ac:dyDescent="0.3">
      <c r="A199" s="2">
        <v>190</v>
      </c>
      <c r="B199" s="3">
        <f t="shared" si="8"/>
        <v>0.27946127946127808</v>
      </c>
      <c r="D199" s="1">
        <f t="shared" si="10"/>
        <v>0</v>
      </c>
      <c r="E199" s="1">
        <f t="shared" si="10"/>
        <v>0</v>
      </c>
      <c r="F199" s="1">
        <f t="shared" si="10"/>
        <v>0.30134680134680486</v>
      </c>
      <c r="G199" s="1">
        <f t="shared" si="10"/>
        <v>0.6986531986531952</v>
      </c>
      <c r="H199" s="1">
        <f t="shared" si="10"/>
        <v>0</v>
      </c>
    </row>
    <row r="200" spans="1:8" x14ac:dyDescent="0.3">
      <c r="A200" s="2">
        <v>191</v>
      </c>
      <c r="B200" s="3">
        <f t="shared" si="8"/>
        <v>0.28619528619528484</v>
      </c>
      <c r="D200" s="1">
        <f t="shared" si="10"/>
        <v>0</v>
      </c>
      <c r="E200" s="1">
        <f t="shared" si="10"/>
        <v>0</v>
      </c>
      <c r="F200" s="1">
        <f t="shared" si="10"/>
        <v>0.28451178451178794</v>
      </c>
      <c r="G200" s="1">
        <f t="shared" si="10"/>
        <v>0.71548821548821206</v>
      </c>
      <c r="H200" s="1">
        <f t="shared" si="10"/>
        <v>0</v>
      </c>
    </row>
    <row r="201" spans="1:8" x14ac:dyDescent="0.3">
      <c r="A201" s="2">
        <v>192</v>
      </c>
      <c r="B201" s="3">
        <f t="shared" si="8"/>
        <v>0.2929292929292916</v>
      </c>
      <c r="D201" s="1">
        <f t="shared" si="10"/>
        <v>0</v>
      </c>
      <c r="E201" s="1">
        <f t="shared" si="10"/>
        <v>0</v>
      </c>
      <c r="F201" s="1">
        <f t="shared" si="10"/>
        <v>0.26767676767677107</v>
      </c>
      <c r="G201" s="1">
        <f t="shared" si="10"/>
        <v>0.73232323232322893</v>
      </c>
      <c r="H201" s="1">
        <f t="shared" si="10"/>
        <v>0</v>
      </c>
    </row>
    <row r="202" spans="1:8" x14ac:dyDescent="0.3">
      <c r="A202" s="2">
        <v>193</v>
      </c>
      <c r="B202" s="3">
        <f t="shared" si="8"/>
        <v>0.29966329966329835</v>
      </c>
      <c r="D202" s="1">
        <f t="shared" si="10"/>
        <v>0</v>
      </c>
      <c r="E202" s="1">
        <f t="shared" si="10"/>
        <v>0</v>
      </c>
      <c r="F202" s="1">
        <f t="shared" si="10"/>
        <v>0.25084175084175414</v>
      </c>
      <c r="G202" s="1">
        <f t="shared" si="10"/>
        <v>0.7491582491582458</v>
      </c>
      <c r="H202" s="1">
        <f t="shared" si="10"/>
        <v>0</v>
      </c>
    </row>
    <row r="203" spans="1:8" x14ac:dyDescent="0.3">
      <c r="A203" s="2">
        <v>194</v>
      </c>
      <c r="B203" s="3">
        <f t="shared" ref="B203:B266" si="11">B202+((B$306-B$9)/297)</f>
        <v>0.30639730639730511</v>
      </c>
      <c r="D203" s="1">
        <f t="shared" si="10"/>
        <v>0</v>
      </c>
      <c r="E203" s="1">
        <f t="shared" si="10"/>
        <v>0</v>
      </c>
      <c r="F203" s="1">
        <f t="shared" si="10"/>
        <v>0.23400673400673727</v>
      </c>
      <c r="G203" s="1">
        <f t="shared" si="10"/>
        <v>0.76599326599326278</v>
      </c>
      <c r="H203" s="1">
        <f t="shared" si="10"/>
        <v>0</v>
      </c>
    </row>
    <row r="204" spans="1:8" x14ac:dyDescent="0.3">
      <c r="A204" s="2">
        <v>195</v>
      </c>
      <c r="B204" s="3">
        <f t="shared" si="11"/>
        <v>0.31313131313131187</v>
      </c>
      <c r="D204" s="1">
        <f t="shared" si="10"/>
        <v>0</v>
      </c>
      <c r="E204" s="1">
        <f t="shared" si="10"/>
        <v>0</v>
      </c>
      <c r="F204" s="1">
        <f t="shared" si="10"/>
        <v>0.21717171717172037</v>
      </c>
      <c r="G204" s="1">
        <f t="shared" si="10"/>
        <v>0.78282828282827965</v>
      </c>
      <c r="H204" s="1">
        <f t="shared" si="10"/>
        <v>0</v>
      </c>
    </row>
    <row r="205" spans="1:8" x14ac:dyDescent="0.3">
      <c r="A205" s="2">
        <v>196</v>
      </c>
      <c r="B205" s="3">
        <f t="shared" si="11"/>
        <v>0.31986531986531863</v>
      </c>
      <c r="D205" s="1">
        <f t="shared" ref="D205:H236" si="12">IF($B205&gt;D$5,0,IF($B205&gt;D$4,(D$5-$B205)/(D$5-D$4),IF($B205&gt;D$3,1,IF($B205&gt;D$2,($B205-D$2)/(D$3-D$2),0))))</f>
        <v>0</v>
      </c>
      <c r="E205" s="1">
        <f t="shared" si="12"/>
        <v>0</v>
      </c>
      <c r="F205" s="1">
        <f t="shared" si="12"/>
        <v>0.20033670033670348</v>
      </c>
      <c r="G205" s="1">
        <f t="shared" si="12"/>
        <v>0.79966329966329652</v>
      </c>
      <c r="H205" s="1">
        <f t="shared" si="12"/>
        <v>0</v>
      </c>
    </row>
    <row r="206" spans="1:8" x14ac:dyDescent="0.3">
      <c r="A206" s="2">
        <v>197</v>
      </c>
      <c r="B206" s="3">
        <f t="shared" si="11"/>
        <v>0.32659932659932539</v>
      </c>
      <c r="D206" s="1">
        <f t="shared" si="12"/>
        <v>0</v>
      </c>
      <c r="E206" s="1">
        <f t="shared" si="12"/>
        <v>0</v>
      </c>
      <c r="F206" s="1">
        <f t="shared" si="12"/>
        <v>0.18350168350168658</v>
      </c>
      <c r="G206" s="10">
        <f t="shared" si="12"/>
        <v>0.81649831649831339</v>
      </c>
      <c r="H206" s="1">
        <f t="shared" si="12"/>
        <v>0</v>
      </c>
    </row>
    <row r="207" spans="1:8" x14ac:dyDescent="0.3">
      <c r="A207" s="2">
        <v>198</v>
      </c>
      <c r="B207" s="3">
        <f t="shared" si="11"/>
        <v>0.33333333333333215</v>
      </c>
      <c r="D207" s="1">
        <f t="shared" si="12"/>
        <v>0</v>
      </c>
      <c r="E207" s="1">
        <f t="shared" si="12"/>
        <v>0</v>
      </c>
      <c r="F207" s="1">
        <f t="shared" si="12"/>
        <v>0.16666666666666968</v>
      </c>
      <c r="G207" s="10">
        <f t="shared" si="12"/>
        <v>0.83333333333333037</v>
      </c>
      <c r="H207" s="1">
        <f t="shared" si="12"/>
        <v>0</v>
      </c>
    </row>
    <row r="208" spans="1:8" x14ac:dyDescent="0.3">
      <c r="A208" s="2">
        <v>199</v>
      </c>
      <c r="B208" s="3">
        <f t="shared" si="11"/>
        <v>0.34006734006733891</v>
      </c>
      <c r="D208" s="1">
        <f t="shared" si="12"/>
        <v>0</v>
      </c>
      <c r="E208" s="1">
        <f t="shared" si="12"/>
        <v>0</v>
      </c>
      <c r="F208" s="1">
        <f t="shared" si="12"/>
        <v>0.14983164983165279</v>
      </c>
      <c r="G208" s="10">
        <f t="shared" si="12"/>
        <v>0.85016835016834724</v>
      </c>
      <c r="H208" s="1">
        <f t="shared" si="12"/>
        <v>0</v>
      </c>
    </row>
    <row r="209" spans="1:8" x14ac:dyDescent="0.3">
      <c r="A209" s="2">
        <v>200</v>
      </c>
      <c r="B209" s="3">
        <f t="shared" si="11"/>
        <v>0.34680134680134567</v>
      </c>
      <c r="D209" s="1">
        <f t="shared" si="12"/>
        <v>0</v>
      </c>
      <c r="E209" s="1">
        <f t="shared" si="12"/>
        <v>0</v>
      </c>
      <c r="F209" s="1">
        <f t="shared" si="12"/>
        <v>0.13299663299663589</v>
      </c>
      <c r="G209" s="10">
        <f t="shared" si="12"/>
        <v>0.86700336700336411</v>
      </c>
      <c r="H209" s="1">
        <f t="shared" si="12"/>
        <v>0</v>
      </c>
    </row>
    <row r="210" spans="1:8" x14ac:dyDescent="0.3">
      <c r="A210" s="2">
        <v>201</v>
      </c>
      <c r="B210" s="3">
        <f t="shared" si="11"/>
        <v>0.35353535353535243</v>
      </c>
      <c r="D210" s="1">
        <f t="shared" si="12"/>
        <v>0</v>
      </c>
      <c r="E210" s="1">
        <f t="shared" si="12"/>
        <v>0</v>
      </c>
      <c r="F210" s="1">
        <f t="shared" si="12"/>
        <v>0.11616161616161899</v>
      </c>
      <c r="G210" s="10">
        <f t="shared" si="12"/>
        <v>0.88383838383838098</v>
      </c>
      <c r="H210" s="1">
        <f t="shared" si="12"/>
        <v>0</v>
      </c>
    </row>
    <row r="211" spans="1:8" x14ac:dyDescent="0.3">
      <c r="A211" s="2">
        <v>202</v>
      </c>
      <c r="B211" s="3">
        <f t="shared" si="11"/>
        <v>0.36026936026935918</v>
      </c>
      <c r="D211" s="1">
        <f t="shared" si="12"/>
        <v>0</v>
      </c>
      <c r="E211" s="1">
        <f t="shared" si="12"/>
        <v>0</v>
      </c>
      <c r="F211" s="1">
        <f t="shared" si="12"/>
        <v>9.9326599326602094E-2</v>
      </c>
      <c r="G211" s="10">
        <f t="shared" si="12"/>
        <v>0.90067340067339796</v>
      </c>
      <c r="H211" s="1">
        <f t="shared" si="12"/>
        <v>0</v>
      </c>
    </row>
    <row r="212" spans="1:8" x14ac:dyDescent="0.3">
      <c r="A212" s="2">
        <v>203</v>
      </c>
      <c r="B212" s="3">
        <f t="shared" si="11"/>
        <v>0.36700336700336594</v>
      </c>
      <c r="D212" s="1">
        <f t="shared" si="12"/>
        <v>0</v>
      </c>
      <c r="E212" s="1">
        <f t="shared" si="12"/>
        <v>0</v>
      </c>
      <c r="F212" s="1">
        <f t="shared" si="12"/>
        <v>8.2491582491585197E-2</v>
      </c>
      <c r="G212" s="10">
        <f t="shared" si="12"/>
        <v>0.91750841750841483</v>
      </c>
      <c r="H212" s="1">
        <f t="shared" si="12"/>
        <v>0</v>
      </c>
    </row>
    <row r="213" spans="1:8" x14ac:dyDescent="0.3">
      <c r="A213" s="2">
        <v>204</v>
      </c>
      <c r="B213" s="3">
        <f t="shared" si="11"/>
        <v>0.3737373737373727</v>
      </c>
      <c r="D213" s="1">
        <f t="shared" si="12"/>
        <v>0</v>
      </c>
      <c r="E213" s="1">
        <f t="shared" si="12"/>
        <v>0</v>
      </c>
      <c r="F213" s="1">
        <f t="shared" si="12"/>
        <v>6.56565656565683E-2</v>
      </c>
      <c r="G213" s="10">
        <f t="shared" si="12"/>
        <v>0.9343434343434317</v>
      </c>
      <c r="H213" s="1">
        <f t="shared" si="12"/>
        <v>0</v>
      </c>
    </row>
    <row r="214" spans="1:8" x14ac:dyDescent="0.3">
      <c r="A214" s="2">
        <v>205</v>
      </c>
      <c r="B214" s="3">
        <f t="shared" si="11"/>
        <v>0.38047138047137946</v>
      </c>
      <c r="D214" s="1">
        <f t="shared" si="12"/>
        <v>0</v>
      </c>
      <c r="E214" s="1">
        <f t="shared" si="12"/>
        <v>0</v>
      </c>
      <c r="F214" s="1">
        <f t="shared" si="12"/>
        <v>4.8821548821551403E-2</v>
      </c>
      <c r="G214" s="10">
        <f t="shared" si="12"/>
        <v>0.95117845117844857</v>
      </c>
      <c r="H214" s="1">
        <f t="shared" si="12"/>
        <v>0</v>
      </c>
    </row>
    <row r="215" spans="1:8" x14ac:dyDescent="0.3">
      <c r="A215" s="2">
        <v>206</v>
      </c>
      <c r="B215" s="3">
        <f t="shared" si="11"/>
        <v>0.38720538720538622</v>
      </c>
      <c r="D215" s="1">
        <f t="shared" si="12"/>
        <v>0</v>
      </c>
      <c r="E215" s="1">
        <f t="shared" si="12"/>
        <v>0</v>
      </c>
      <c r="F215" s="1">
        <f t="shared" si="12"/>
        <v>3.1986531986534505E-2</v>
      </c>
      <c r="G215" s="10">
        <f t="shared" si="12"/>
        <v>0.96801346801346555</v>
      </c>
      <c r="H215" s="1">
        <f t="shared" si="12"/>
        <v>0</v>
      </c>
    </row>
    <row r="216" spans="1:8" x14ac:dyDescent="0.3">
      <c r="A216" s="2">
        <v>207</v>
      </c>
      <c r="B216" s="3">
        <f t="shared" si="11"/>
        <v>0.39393939393939298</v>
      </c>
      <c r="D216" s="1">
        <f t="shared" si="12"/>
        <v>0</v>
      </c>
      <c r="E216" s="1">
        <f t="shared" si="12"/>
        <v>0</v>
      </c>
      <c r="F216" s="1">
        <f t="shared" si="12"/>
        <v>1.5151515151517608E-2</v>
      </c>
      <c r="G216" s="10">
        <f t="shared" si="12"/>
        <v>0.98484848484848242</v>
      </c>
      <c r="H216" s="1">
        <f t="shared" si="12"/>
        <v>0</v>
      </c>
    </row>
    <row r="217" spans="1:8" x14ac:dyDescent="0.3">
      <c r="A217" s="2">
        <v>208</v>
      </c>
      <c r="B217" s="3">
        <f t="shared" si="11"/>
        <v>0.40067340067339974</v>
      </c>
      <c r="D217" s="1">
        <f t="shared" si="12"/>
        <v>0</v>
      </c>
      <c r="E217" s="1">
        <f t="shared" si="12"/>
        <v>0</v>
      </c>
      <c r="F217" s="1">
        <f t="shared" si="12"/>
        <v>0</v>
      </c>
      <c r="G217" s="10">
        <f t="shared" si="12"/>
        <v>0.99887766554433377</v>
      </c>
      <c r="H217" s="1">
        <f t="shared" si="12"/>
        <v>1.1223344556661927E-3</v>
      </c>
    </row>
    <row r="218" spans="1:8" x14ac:dyDescent="0.3">
      <c r="A218" s="2">
        <v>209</v>
      </c>
      <c r="B218" s="3">
        <f t="shared" si="11"/>
        <v>0.4074074074074065</v>
      </c>
      <c r="D218" s="1">
        <f t="shared" si="12"/>
        <v>0</v>
      </c>
      <c r="E218" s="1">
        <f t="shared" si="12"/>
        <v>0</v>
      </c>
      <c r="F218" s="1">
        <f t="shared" si="12"/>
        <v>0</v>
      </c>
      <c r="G218" s="10">
        <f t="shared" si="12"/>
        <v>0.98765432098765582</v>
      </c>
      <c r="H218" s="1">
        <f t="shared" si="12"/>
        <v>1.2345679012344124E-2</v>
      </c>
    </row>
    <row r="219" spans="1:8" x14ac:dyDescent="0.3">
      <c r="A219" s="2">
        <v>210</v>
      </c>
      <c r="B219" s="3">
        <f t="shared" si="11"/>
        <v>0.41414141414141326</v>
      </c>
      <c r="D219" s="1">
        <f t="shared" si="12"/>
        <v>0</v>
      </c>
      <c r="E219" s="1">
        <f t="shared" si="12"/>
        <v>0</v>
      </c>
      <c r="F219" s="1">
        <f t="shared" si="12"/>
        <v>0</v>
      </c>
      <c r="G219" s="10">
        <f t="shared" si="12"/>
        <v>0.97643097643097798</v>
      </c>
      <c r="H219" s="1">
        <f t="shared" si="12"/>
        <v>2.3569023569022057E-2</v>
      </c>
    </row>
    <row r="220" spans="1:8" x14ac:dyDescent="0.3">
      <c r="A220" s="2">
        <v>211</v>
      </c>
      <c r="B220" s="3">
        <f t="shared" si="11"/>
        <v>0.42087542087542001</v>
      </c>
      <c r="D220" s="1">
        <f t="shared" si="12"/>
        <v>0</v>
      </c>
      <c r="E220" s="1">
        <f t="shared" si="12"/>
        <v>0</v>
      </c>
      <c r="F220" s="1">
        <f t="shared" si="12"/>
        <v>0</v>
      </c>
      <c r="G220" s="10">
        <f t="shared" si="12"/>
        <v>0.96520763187430014</v>
      </c>
      <c r="H220" s="1">
        <f t="shared" si="12"/>
        <v>3.4792368125699989E-2</v>
      </c>
    </row>
    <row r="221" spans="1:8" x14ac:dyDescent="0.3">
      <c r="A221" s="2">
        <v>212</v>
      </c>
      <c r="B221" s="3">
        <f t="shared" si="11"/>
        <v>0.42760942760942677</v>
      </c>
      <c r="D221" s="1">
        <f t="shared" si="12"/>
        <v>0</v>
      </c>
      <c r="E221" s="1">
        <f t="shared" si="12"/>
        <v>0</v>
      </c>
      <c r="F221" s="1">
        <f t="shared" si="12"/>
        <v>0</v>
      </c>
      <c r="G221" s="10">
        <f t="shared" si="12"/>
        <v>0.95398428731762208</v>
      </c>
      <c r="H221" s="1">
        <f t="shared" si="12"/>
        <v>4.6015712682377918E-2</v>
      </c>
    </row>
    <row r="222" spans="1:8" x14ac:dyDescent="0.3">
      <c r="A222" s="2">
        <v>213</v>
      </c>
      <c r="B222" s="3">
        <f t="shared" si="11"/>
        <v>0.43434343434343353</v>
      </c>
      <c r="D222" s="1">
        <f t="shared" si="12"/>
        <v>0</v>
      </c>
      <c r="E222" s="1">
        <f t="shared" si="12"/>
        <v>0</v>
      </c>
      <c r="F222" s="1">
        <f t="shared" si="12"/>
        <v>0</v>
      </c>
      <c r="G222" s="10">
        <f t="shared" si="12"/>
        <v>0.94276094276094402</v>
      </c>
      <c r="H222" s="1">
        <f t="shared" si="12"/>
        <v>5.7239057239055854E-2</v>
      </c>
    </row>
    <row r="223" spans="1:8" x14ac:dyDescent="0.3">
      <c r="A223" s="2">
        <v>214</v>
      </c>
      <c r="B223" s="3">
        <f t="shared" si="11"/>
        <v>0.44107744107744029</v>
      </c>
      <c r="D223" s="1">
        <f t="shared" si="12"/>
        <v>0</v>
      </c>
      <c r="E223" s="1">
        <f t="shared" si="12"/>
        <v>0</v>
      </c>
      <c r="F223" s="1">
        <f t="shared" si="12"/>
        <v>0</v>
      </c>
      <c r="G223" s="10">
        <f t="shared" si="12"/>
        <v>0.93153759820426618</v>
      </c>
      <c r="H223" s="1">
        <f t="shared" si="12"/>
        <v>6.846240179573379E-2</v>
      </c>
    </row>
    <row r="224" spans="1:8" x14ac:dyDescent="0.3">
      <c r="A224" s="2">
        <v>215</v>
      </c>
      <c r="B224" s="3">
        <f t="shared" si="11"/>
        <v>0.44781144781144705</v>
      </c>
      <c r="D224" s="1">
        <f t="shared" si="12"/>
        <v>0</v>
      </c>
      <c r="E224" s="1">
        <f t="shared" si="12"/>
        <v>0</v>
      </c>
      <c r="F224" s="1">
        <f t="shared" si="12"/>
        <v>0</v>
      </c>
      <c r="G224" s="10">
        <f t="shared" si="12"/>
        <v>0.92031425364758834</v>
      </c>
      <c r="H224" s="1">
        <f t="shared" si="12"/>
        <v>7.9685746352411713E-2</v>
      </c>
    </row>
    <row r="225" spans="1:8" x14ac:dyDescent="0.3">
      <c r="A225" s="2">
        <v>216</v>
      </c>
      <c r="B225" s="3">
        <f t="shared" si="11"/>
        <v>0.45454545454545381</v>
      </c>
      <c r="D225" s="1">
        <f t="shared" si="12"/>
        <v>0</v>
      </c>
      <c r="E225" s="1">
        <f t="shared" si="12"/>
        <v>0</v>
      </c>
      <c r="F225" s="1">
        <f t="shared" si="12"/>
        <v>0</v>
      </c>
      <c r="G225" s="10">
        <f t="shared" si="12"/>
        <v>0.90909090909091039</v>
      </c>
      <c r="H225" s="1">
        <f t="shared" si="12"/>
        <v>9.0909090909089649E-2</v>
      </c>
    </row>
    <row r="226" spans="1:8" x14ac:dyDescent="0.3">
      <c r="A226" s="2">
        <v>217</v>
      </c>
      <c r="B226" s="3">
        <f t="shared" si="11"/>
        <v>0.46127946127946057</v>
      </c>
      <c r="D226" s="1">
        <f t="shared" si="12"/>
        <v>0</v>
      </c>
      <c r="E226" s="1">
        <f t="shared" si="12"/>
        <v>0</v>
      </c>
      <c r="F226" s="1">
        <f t="shared" si="12"/>
        <v>0</v>
      </c>
      <c r="G226" s="10">
        <f t="shared" si="12"/>
        <v>0.89786756453423233</v>
      </c>
      <c r="H226" s="1">
        <f t="shared" si="12"/>
        <v>0.10213243546576758</v>
      </c>
    </row>
    <row r="227" spans="1:8" x14ac:dyDescent="0.3">
      <c r="A227" s="2">
        <v>218</v>
      </c>
      <c r="B227" s="3">
        <f t="shared" si="11"/>
        <v>0.46801346801346733</v>
      </c>
      <c r="D227" s="1">
        <f t="shared" si="12"/>
        <v>0</v>
      </c>
      <c r="E227" s="1">
        <f t="shared" si="12"/>
        <v>0</v>
      </c>
      <c r="F227" s="1">
        <f t="shared" si="12"/>
        <v>0</v>
      </c>
      <c r="G227" s="10">
        <f t="shared" si="12"/>
        <v>0.88664421997755449</v>
      </c>
      <c r="H227" s="1">
        <f t="shared" si="12"/>
        <v>0.11335578002244551</v>
      </c>
    </row>
    <row r="228" spans="1:8" x14ac:dyDescent="0.3">
      <c r="A228" s="2">
        <v>219</v>
      </c>
      <c r="B228" s="3">
        <f t="shared" si="11"/>
        <v>0.47474747474747409</v>
      </c>
      <c r="D228" s="1">
        <f t="shared" si="12"/>
        <v>0</v>
      </c>
      <c r="E228" s="1">
        <f t="shared" si="12"/>
        <v>0</v>
      </c>
      <c r="F228" s="1">
        <f t="shared" si="12"/>
        <v>0</v>
      </c>
      <c r="G228" s="10">
        <f t="shared" si="12"/>
        <v>0.87542087542087665</v>
      </c>
      <c r="H228" s="1">
        <f t="shared" si="12"/>
        <v>0.12457912457912344</v>
      </c>
    </row>
    <row r="229" spans="1:8" x14ac:dyDescent="0.3">
      <c r="A229" s="2">
        <v>220</v>
      </c>
      <c r="B229" s="3">
        <f t="shared" si="11"/>
        <v>0.48148148148148084</v>
      </c>
      <c r="D229" s="1">
        <f t="shared" si="12"/>
        <v>0</v>
      </c>
      <c r="E229" s="1">
        <f t="shared" si="12"/>
        <v>0</v>
      </c>
      <c r="F229" s="1">
        <f t="shared" si="12"/>
        <v>0</v>
      </c>
      <c r="G229" s="10">
        <f t="shared" si="12"/>
        <v>0.86419753086419859</v>
      </c>
      <c r="H229" s="1">
        <f t="shared" si="12"/>
        <v>0.13580246913580138</v>
      </c>
    </row>
    <row r="230" spans="1:8" x14ac:dyDescent="0.3">
      <c r="A230" s="2">
        <v>221</v>
      </c>
      <c r="B230" s="3">
        <f t="shared" si="11"/>
        <v>0.4882154882154876</v>
      </c>
      <c r="D230" s="1">
        <f t="shared" si="12"/>
        <v>0</v>
      </c>
      <c r="E230" s="1">
        <f t="shared" si="12"/>
        <v>0</v>
      </c>
      <c r="F230" s="1">
        <f t="shared" si="12"/>
        <v>0</v>
      </c>
      <c r="G230" s="10">
        <f t="shared" si="12"/>
        <v>0.85297418630752064</v>
      </c>
      <c r="H230" s="1">
        <f t="shared" si="12"/>
        <v>0.1470258136924793</v>
      </c>
    </row>
    <row r="231" spans="1:8" x14ac:dyDescent="0.3">
      <c r="A231" s="2">
        <v>222</v>
      </c>
      <c r="B231" s="3">
        <f t="shared" si="11"/>
        <v>0.49494949494949436</v>
      </c>
      <c r="D231" s="1">
        <f t="shared" si="12"/>
        <v>0</v>
      </c>
      <c r="E231" s="1">
        <f t="shared" si="12"/>
        <v>0</v>
      </c>
      <c r="F231" s="1">
        <f t="shared" si="12"/>
        <v>0</v>
      </c>
      <c r="G231" s="10">
        <f t="shared" si="12"/>
        <v>0.8417508417508428</v>
      </c>
      <c r="H231" s="1">
        <f t="shared" si="12"/>
        <v>0.15824915824915725</v>
      </c>
    </row>
    <row r="232" spans="1:8" x14ac:dyDescent="0.3">
      <c r="A232" s="2">
        <v>223</v>
      </c>
      <c r="B232" s="3">
        <f t="shared" si="11"/>
        <v>0.50168350168350107</v>
      </c>
      <c r="D232" s="1">
        <f t="shared" si="12"/>
        <v>0</v>
      </c>
      <c r="E232" s="1">
        <f t="shared" si="12"/>
        <v>0</v>
      </c>
      <c r="F232" s="1">
        <f t="shared" si="12"/>
        <v>0</v>
      </c>
      <c r="G232" s="10">
        <f t="shared" si="12"/>
        <v>0.83052749719416497</v>
      </c>
      <c r="H232" s="1">
        <f t="shared" si="12"/>
        <v>0.16947250280583509</v>
      </c>
    </row>
    <row r="233" spans="1:8" x14ac:dyDescent="0.3">
      <c r="A233" s="2">
        <v>224</v>
      </c>
      <c r="B233" s="3">
        <f t="shared" si="11"/>
        <v>0.50841750841750777</v>
      </c>
      <c r="D233" s="1">
        <f t="shared" si="12"/>
        <v>0</v>
      </c>
      <c r="E233" s="1">
        <f t="shared" si="12"/>
        <v>0</v>
      </c>
      <c r="F233" s="1">
        <f t="shared" si="12"/>
        <v>0</v>
      </c>
      <c r="G233" s="10">
        <f t="shared" si="12"/>
        <v>0.81930415263748713</v>
      </c>
      <c r="H233" s="1">
        <f t="shared" si="12"/>
        <v>0.18069584736251293</v>
      </c>
    </row>
    <row r="234" spans="1:8" x14ac:dyDescent="0.3">
      <c r="A234" s="2">
        <v>225</v>
      </c>
      <c r="B234" s="3">
        <f t="shared" si="11"/>
        <v>0.51515151515151447</v>
      </c>
      <c r="D234" s="1">
        <f t="shared" si="12"/>
        <v>0</v>
      </c>
      <c r="E234" s="1">
        <f t="shared" si="12"/>
        <v>0</v>
      </c>
      <c r="F234" s="1">
        <f t="shared" si="12"/>
        <v>0</v>
      </c>
      <c r="G234" s="10">
        <f t="shared" si="12"/>
        <v>0.80808080808080929</v>
      </c>
      <c r="H234" s="1">
        <f t="shared" si="12"/>
        <v>0.19191919191919077</v>
      </c>
    </row>
    <row r="235" spans="1:8" x14ac:dyDescent="0.3">
      <c r="A235" s="2">
        <v>226</v>
      </c>
      <c r="B235" s="3">
        <f t="shared" si="11"/>
        <v>0.52188552188552118</v>
      </c>
      <c r="D235" s="1">
        <f t="shared" si="12"/>
        <v>0</v>
      </c>
      <c r="E235" s="1">
        <f t="shared" si="12"/>
        <v>0</v>
      </c>
      <c r="F235" s="1">
        <f t="shared" si="12"/>
        <v>0</v>
      </c>
      <c r="G235" s="1">
        <f t="shared" si="12"/>
        <v>0.79685746352413145</v>
      </c>
      <c r="H235" s="1">
        <f t="shared" si="12"/>
        <v>0.20314253647586861</v>
      </c>
    </row>
    <row r="236" spans="1:8" x14ac:dyDescent="0.3">
      <c r="A236" s="2">
        <v>227</v>
      </c>
      <c r="B236" s="3">
        <f t="shared" si="11"/>
        <v>0.52861952861952788</v>
      </c>
      <c r="D236" s="1">
        <f t="shared" si="12"/>
        <v>0</v>
      </c>
      <c r="E236" s="1">
        <f t="shared" si="12"/>
        <v>0</v>
      </c>
      <c r="F236" s="1">
        <f t="shared" si="12"/>
        <v>0</v>
      </c>
      <c r="G236" s="1">
        <f t="shared" si="12"/>
        <v>0.78563411896745361</v>
      </c>
      <c r="H236" s="1">
        <f t="shared" si="12"/>
        <v>0.21436588103254645</v>
      </c>
    </row>
    <row r="237" spans="1:8" x14ac:dyDescent="0.3">
      <c r="A237" s="2">
        <v>228</v>
      </c>
      <c r="B237" s="3">
        <f t="shared" si="11"/>
        <v>0.53535353535353458</v>
      </c>
      <c r="D237" s="1">
        <f t="shared" ref="D237:H268" si="13">IF($B237&gt;D$5,0,IF($B237&gt;D$4,(D$5-$B237)/(D$5-D$4),IF($B237&gt;D$3,1,IF($B237&gt;D$2,($B237-D$2)/(D$3-D$2),0))))</f>
        <v>0</v>
      </c>
      <c r="E237" s="1">
        <f t="shared" si="13"/>
        <v>0</v>
      </c>
      <c r="F237" s="1">
        <f t="shared" si="13"/>
        <v>0</v>
      </c>
      <c r="G237" s="1">
        <f t="shared" si="13"/>
        <v>0.77441077441077577</v>
      </c>
      <c r="H237" s="1">
        <f t="shared" si="13"/>
        <v>0.22558922558922428</v>
      </c>
    </row>
    <row r="238" spans="1:8" x14ac:dyDescent="0.3">
      <c r="A238" s="2">
        <v>229</v>
      </c>
      <c r="B238" s="3">
        <f t="shared" si="11"/>
        <v>0.54208754208754129</v>
      </c>
      <c r="D238" s="1">
        <f t="shared" si="13"/>
        <v>0</v>
      </c>
      <c r="E238" s="1">
        <f t="shared" si="13"/>
        <v>0</v>
      </c>
      <c r="F238" s="1">
        <f t="shared" si="13"/>
        <v>0</v>
      </c>
      <c r="G238" s="1">
        <f t="shared" si="13"/>
        <v>0.76318742985409793</v>
      </c>
      <c r="H238" s="1">
        <f t="shared" si="13"/>
        <v>0.23681257014590212</v>
      </c>
    </row>
    <row r="239" spans="1:8" x14ac:dyDescent="0.3">
      <c r="A239" s="2">
        <v>230</v>
      </c>
      <c r="B239" s="3">
        <f t="shared" si="11"/>
        <v>0.54882154882154799</v>
      </c>
      <c r="D239" s="1">
        <f t="shared" si="13"/>
        <v>0</v>
      </c>
      <c r="E239" s="1">
        <f t="shared" si="13"/>
        <v>0</v>
      </c>
      <c r="F239" s="1">
        <f t="shared" si="13"/>
        <v>0</v>
      </c>
      <c r="G239" s="1">
        <f t="shared" si="13"/>
        <v>0.75196408529742009</v>
      </c>
      <c r="H239" s="1">
        <f t="shared" si="13"/>
        <v>0.24803591470257996</v>
      </c>
    </row>
    <row r="240" spans="1:8" x14ac:dyDescent="0.3">
      <c r="A240" s="2">
        <v>231</v>
      </c>
      <c r="B240" s="3">
        <f t="shared" si="11"/>
        <v>0.55555555555555469</v>
      </c>
      <c r="D240" s="1">
        <f t="shared" si="13"/>
        <v>0</v>
      </c>
      <c r="E240" s="1">
        <f t="shared" si="13"/>
        <v>0</v>
      </c>
      <c r="F240" s="1">
        <f t="shared" si="13"/>
        <v>0</v>
      </c>
      <c r="G240" s="1">
        <f t="shared" si="13"/>
        <v>0.74074074074074225</v>
      </c>
      <c r="H240" s="1">
        <f t="shared" si="13"/>
        <v>0.2592592592592578</v>
      </c>
    </row>
    <row r="241" spans="1:8" x14ac:dyDescent="0.3">
      <c r="A241" s="2">
        <v>232</v>
      </c>
      <c r="B241" s="3">
        <f t="shared" si="11"/>
        <v>0.5622895622895614</v>
      </c>
      <c r="D241" s="1">
        <f t="shared" si="13"/>
        <v>0</v>
      </c>
      <c r="E241" s="1">
        <f t="shared" si="13"/>
        <v>0</v>
      </c>
      <c r="F241" s="1">
        <f t="shared" si="13"/>
        <v>0</v>
      </c>
      <c r="G241" s="1">
        <f t="shared" si="13"/>
        <v>0.72951739618406442</v>
      </c>
      <c r="H241" s="1">
        <f t="shared" si="13"/>
        <v>0.27048260381593564</v>
      </c>
    </row>
    <row r="242" spans="1:8" x14ac:dyDescent="0.3">
      <c r="A242" s="2">
        <v>233</v>
      </c>
      <c r="B242" s="3">
        <f t="shared" si="11"/>
        <v>0.5690235690235681</v>
      </c>
      <c r="D242" s="1">
        <f t="shared" si="13"/>
        <v>0</v>
      </c>
      <c r="E242" s="1">
        <f t="shared" si="13"/>
        <v>0</v>
      </c>
      <c r="F242" s="1">
        <f t="shared" si="13"/>
        <v>0</v>
      </c>
      <c r="G242" s="1">
        <f t="shared" si="13"/>
        <v>0.71829405162738658</v>
      </c>
      <c r="H242" s="1">
        <f t="shared" si="13"/>
        <v>0.28170594837261348</v>
      </c>
    </row>
    <row r="243" spans="1:8" x14ac:dyDescent="0.3">
      <c r="A243" s="2">
        <v>234</v>
      </c>
      <c r="B243" s="3">
        <f t="shared" si="11"/>
        <v>0.5757575757575748</v>
      </c>
      <c r="D243" s="1">
        <f t="shared" si="13"/>
        <v>0</v>
      </c>
      <c r="E243" s="1">
        <f t="shared" si="13"/>
        <v>0</v>
      </c>
      <c r="F243" s="1">
        <f t="shared" si="13"/>
        <v>0</v>
      </c>
      <c r="G243" s="1">
        <f t="shared" si="13"/>
        <v>0.70707070707070874</v>
      </c>
      <c r="H243" s="1">
        <f t="shared" si="13"/>
        <v>0.29292929292929132</v>
      </c>
    </row>
    <row r="244" spans="1:8" x14ac:dyDescent="0.3">
      <c r="A244" s="2">
        <v>235</v>
      </c>
      <c r="B244" s="3">
        <f t="shared" si="11"/>
        <v>0.58249158249158151</v>
      </c>
      <c r="D244" s="1">
        <f t="shared" si="13"/>
        <v>0</v>
      </c>
      <c r="E244" s="1">
        <f t="shared" si="13"/>
        <v>0</v>
      </c>
      <c r="F244" s="1">
        <f t="shared" si="13"/>
        <v>0</v>
      </c>
      <c r="G244" s="1">
        <f t="shared" si="13"/>
        <v>0.6958473625140309</v>
      </c>
      <c r="H244" s="1">
        <f t="shared" si="13"/>
        <v>0.30415263748596916</v>
      </c>
    </row>
    <row r="245" spans="1:8" x14ac:dyDescent="0.3">
      <c r="A245" s="2">
        <v>236</v>
      </c>
      <c r="B245" s="3">
        <f t="shared" si="11"/>
        <v>0.58922558922558821</v>
      </c>
      <c r="D245" s="1">
        <f t="shared" si="13"/>
        <v>0</v>
      </c>
      <c r="E245" s="1">
        <f t="shared" si="13"/>
        <v>0</v>
      </c>
      <c r="F245" s="1">
        <f t="shared" si="13"/>
        <v>0</v>
      </c>
      <c r="G245" s="1">
        <f t="shared" si="13"/>
        <v>0.68462401795735306</v>
      </c>
      <c r="H245" s="1">
        <f t="shared" si="13"/>
        <v>0.315375982042647</v>
      </c>
    </row>
    <row r="246" spans="1:8" x14ac:dyDescent="0.3">
      <c r="A246" s="2">
        <v>237</v>
      </c>
      <c r="B246" s="3">
        <f t="shared" si="11"/>
        <v>0.59595959595959491</v>
      </c>
      <c r="D246" s="1">
        <f t="shared" si="13"/>
        <v>0</v>
      </c>
      <c r="E246" s="1">
        <f t="shared" si="13"/>
        <v>0</v>
      </c>
      <c r="F246" s="1">
        <f t="shared" si="13"/>
        <v>0</v>
      </c>
      <c r="G246" s="1">
        <f t="shared" si="13"/>
        <v>0.67340067340067522</v>
      </c>
      <c r="H246" s="1">
        <f t="shared" si="13"/>
        <v>0.32659932659932484</v>
      </c>
    </row>
    <row r="247" spans="1:8" x14ac:dyDescent="0.3">
      <c r="A247" s="2">
        <v>238</v>
      </c>
      <c r="B247" s="3">
        <f t="shared" si="11"/>
        <v>0.60269360269360162</v>
      </c>
      <c r="D247" s="1">
        <f t="shared" si="13"/>
        <v>0</v>
      </c>
      <c r="E247" s="1">
        <f t="shared" si="13"/>
        <v>0</v>
      </c>
      <c r="F247" s="1">
        <f t="shared" si="13"/>
        <v>0</v>
      </c>
      <c r="G247" s="1">
        <f t="shared" si="13"/>
        <v>0.66217732884399738</v>
      </c>
      <c r="H247" s="1">
        <f t="shared" si="13"/>
        <v>0.33782267115600267</v>
      </c>
    </row>
    <row r="248" spans="1:8" x14ac:dyDescent="0.3">
      <c r="A248" s="2">
        <v>239</v>
      </c>
      <c r="B248" s="3">
        <f t="shared" si="11"/>
        <v>0.60942760942760832</v>
      </c>
      <c r="D248" s="1">
        <f t="shared" si="13"/>
        <v>0</v>
      </c>
      <c r="E248" s="1">
        <f t="shared" si="13"/>
        <v>0</v>
      </c>
      <c r="F248" s="1">
        <f t="shared" si="13"/>
        <v>0</v>
      </c>
      <c r="G248" s="1">
        <f t="shared" si="13"/>
        <v>0.65095398428731954</v>
      </c>
      <c r="H248" s="1">
        <f t="shared" si="13"/>
        <v>0.34904601571268051</v>
      </c>
    </row>
    <row r="249" spans="1:8" x14ac:dyDescent="0.3">
      <c r="A249" s="2">
        <v>240</v>
      </c>
      <c r="B249" s="3">
        <f t="shared" si="11"/>
        <v>0.61616161616161502</v>
      </c>
      <c r="D249" s="1">
        <f t="shared" si="13"/>
        <v>0</v>
      </c>
      <c r="E249" s="1">
        <f t="shared" si="13"/>
        <v>0</v>
      </c>
      <c r="F249" s="1">
        <f t="shared" si="13"/>
        <v>0</v>
      </c>
      <c r="G249" s="1">
        <f t="shared" si="13"/>
        <v>0.6397306397306417</v>
      </c>
      <c r="H249" s="1">
        <f t="shared" si="13"/>
        <v>0.36026936026935835</v>
      </c>
    </row>
    <row r="250" spans="1:8" x14ac:dyDescent="0.3">
      <c r="A250" s="2">
        <v>241</v>
      </c>
      <c r="B250" s="3">
        <f t="shared" si="11"/>
        <v>0.62289562289562173</v>
      </c>
      <c r="D250" s="1">
        <f t="shared" si="13"/>
        <v>0</v>
      </c>
      <c r="E250" s="1">
        <f t="shared" si="13"/>
        <v>0</v>
      </c>
      <c r="F250" s="1">
        <f t="shared" si="13"/>
        <v>0</v>
      </c>
      <c r="G250" s="1">
        <f t="shared" si="13"/>
        <v>0.62850729517396386</v>
      </c>
      <c r="H250" s="1">
        <f t="shared" si="13"/>
        <v>0.37149270482603619</v>
      </c>
    </row>
    <row r="251" spans="1:8" x14ac:dyDescent="0.3">
      <c r="A251" s="2">
        <v>242</v>
      </c>
      <c r="B251" s="3">
        <f t="shared" si="11"/>
        <v>0.62962962962962843</v>
      </c>
      <c r="D251" s="1">
        <f t="shared" si="13"/>
        <v>0</v>
      </c>
      <c r="E251" s="1">
        <f t="shared" si="13"/>
        <v>0</v>
      </c>
      <c r="F251" s="1">
        <f t="shared" si="13"/>
        <v>0</v>
      </c>
      <c r="G251" s="1">
        <f t="shared" si="13"/>
        <v>0.61728395061728603</v>
      </c>
      <c r="H251" s="1">
        <f t="shared" si="13"/>
        <v>0.38271604938271403</v>
      </c>
    </row>
    <row r="252" spans="1:8" x14ac:dyDescent="0.3">
      <c r="A252" s="2">
        <v>243</v>
      </c>
      <c r="B252" s="3">
        <f t="shared" si="11"/>
        <v>0.63636363636363513</v>
      </c>
      <c r="D252" s="1">
        <f t="shared" si="13"/>
        <v>0</v>
      </c>
      <c r="E252" s="1">
        <f t="shared" si="13"/>
        <v>0</v>
      </c>
      <c r="F252" s="1">
        <f t="shared" si="13"/>
        <v>0</v>
      </c>
      <c r="G252" s="1">
        <f t="shared" si="13"/>
        <v>0.60606060606060819</v>
      </c>
      <c r="H252" s="1">
        <f t="shared" si="13"/>
        <v>0.39393939393939187</v>
      </c>
    </row>
    <row r="253" spans="1:8" x14ac:dyDescent="0.3">
      <c r="A253" s="2">
        <v>244</v>
      </c>
      <c r="B253" s="3">
        <f t="shared" si="11"/>
        <v>0.64309764309764184</v>
      </c>
      <c r="D253" s="1">
        <f t="shared" si="13"/>
        <v>0</v>
      </c>
      <c r="E253" s="1">
        <f t="shared" si="13"/>
        <v>0</v>
      </c>
      <c r="F253" s="1">
        <f t="shared" si="13"/>
        <v>0</v>
      </c>
      <c r="G253" s="1">
        <f t="shared" si="13"/>
        <v>0.59483726150393035</v>
      </c>
      <c r="H253" s="1">
        <f t="shared" si="13"/>
        <v>0.40516273849606971</v>
      </c>
    </row>
    <row r="254" spans="1:8" x14ac:dyDescent="0.3">
      <c r="A254" s="2">
        <v>245</v>
      </c>
      <c r="B254" s="3">
        <f t="shared" si="11"/>
        <v>0.64983164983164854</v>
      </c>
      <c r="D254" s="1">
        <f t="shared" si="13"/>
        <v>0</v>
      </c>
      <c r="E254" s="1">
        <f t="shared" si="13"/>
        <v>0</v>
      </c>
      <c r="F254" s="1">
        <f t="shared" si="13"/>
        <v>0</v>
      </c>
      <c r="G254" s="1">
        <f t="shared" si="13"/>
        <v>0.58361391694725251</v>
      </c>
      <c r="H254" s="1">
        <f t="shared" si="13"/>
        <v>0.41638608305274755</v>
      </c>
    </row>
    <row r="255" spans="1:8" x14ac:dyDescent="0.3">
      <c r="A255" s="2">
        <v>246</v>
      </c>
      <c r="B255" s="3">
        <f t="shared" si="11"/>
        <v>0.65656565656565524</v>
      </c>
      <c r="D255" s="1">
        <f t="shared" si="13"/>
        <v>0</v>
      </c>
      <c r="E255" s="1">
        <f t="shared" si="13"/>
        <v>0</v>
      </c>
      <c r="F255" s="1">
        <f t="shared" si="13"/>
        <v>0</v>
      </c>
      <c r="G255" s="1">
        <f t="shared" si="13"/>
        <v>0.57239057239057467</v>
      </c>
      <c r="H255" s="1">
        <f t="shared" si="13"/>
        <v>0.42760942760942539</v>
      </c>
    </row>
    <row r="256" spans="1:8" x14ac:dyDescent="0.3">
      <c r="A256" s="2">
        <v>247</v>
      </c>
      <c r="B256" s="3">
        <f t="shared" si="11"/>
        <v>0.66329966329966195</v>
      </c>
      <c r="D256" s="1">
        <f t="shared" si="13"/>
        <v>0</v>
      </c>
      <c r="E256" s="1">
        <f t="shared" si="13"/>
        <v>0</v>
      </c>
      <c r="F256" s="1">
        <f t="shared" si="13"/>
        <v>0</v>
      </c>
      <c r="G256" s="1">
        <f t="shared" si="13"/>
        <v>0.56116722783389683</v>
      </c>
      <c r="H256" s="1">
        <f t="shared" si="13"/>
        <v>0.43883277216610322</v>
      </c>
    </row>
    <row r="257" spans="1:8" x14ac:dyDescent="0.3">
      <c r="A257" s="2">
        <v>248</v>
      </c>
      <c r="B257" s="3">
        <f t="shared" si="11"/>
        <v>0.67003367003366865</v>
      </c>
      <c r="D257" s="1">
        <f t="shared" si="13"/>
        <v>0</v>
      </c>
      <c r="E257" s="1">
        <f t="shared" si="13"/>
        <v>0</v>
      </c>
      <c r="F257" s="1">
        <f t="shared" si="13"/>
        <v>0</v>
      </c>
      <c r="G257" s="1">
        <f t="shared" si="13"/>
        <v>0.54994388327721899</v>
      </c>
      <c r="H257" s="1">
        <f t="shared" si="13"/>
        <v>0.45005611672278106</v>
      </c>
    </row>
    <row r="258" spans="1:8" x14ac:dyDescent="0.3">
      <c r="A258" s="2">
        <v>249</v>
      </c>
      <c r="B258" s="3">
        <f t="shared" si="11"/>
        <v>0.67676767676767535</v>
      </c>
      <c r="D258" s="1">
        <f t="shared" si="13"/>
        <v>0</v>
      </c>
      <c r="E258" s="1">
        <f t="shared" si="13"/>
        <v>0</v>
      </c>
      <c r="F258" s="1">
        <f t="shared" si="13"/>
        <v>0</v>
      </c>
      <c r="G258" s="1">
        <f t="shared" si="13"/>
        <v>0.53872053872054115</v>
      </c>
      <c r="H258" s="1">
        <f t="shared" si="13"/>
        <v>0.4612794612794589</v>
      </c>
    </row>
    <row r="259" spans="1:8" x14ac:dyDescent="0.3">
      <c r="A259" s="2">
        <v>250</v>
      </c>
      <c r="B259" s="3">
        <f t="shared" si="11"/>
        <v>0.68350168350168206</v>
      </c>
      <c r="D259" s="1">
        <f t="shared" si="13"/>
        <v>0</v>
      </c>
      <c r="E259" s="1">
        <f t="shared" si="13"/>
        <v>0</v>
      </c>
      <c r="F259" s="1">
        <f t="shared" si="13"/>
        <v>0</v>
      </c>
      <c r="G259" s="1">
        <f t="shared" si="13"/>
        <v>0.52749719416386331</v>
      </c>
      <c r="H259" s="1">
        <f t="shared" si="13"/>
        <v>0.47250280583613674</v>
      </c>
    </row>
    <row r="260" spans="1:8" x14ac:dyDescent="0.3">
      <c r="A260" s="2">
        <v>251</v>
      </c>
      <c r="B260" s="3">
        <f t="shared" si="11"/>
        <v>0.69023569023568876</v>
      </c>
      <c r="D260" s="1">
        <f t="shared" si="13"/>
        <v>0</v>
      </c>
      <c r="E260" s="1">
        <f t="shared" si="13"/>
        <v>0</v>
      </c>
      <c r="F260" s="1">
        <f t="shared" si="13"/>
        <v>0</v>
      </c>
      <c r="G260" s="1">
        <f t="shared" si="13"/>
        <v>0.51627384960718548</v>
      </c>
      <c r="H260" s="1">
        <f t="shared" si="13"/>
        <v>0.48372615039281458</v>
      </c>
    </row>
    <row r="261" spans="1:8" x14ac:dyDescent="0.3">
      <c r="A261" s="2">
        <v>252</v>
      </c>
      <c r="B261" s="3">
        <f t="shared" si="11"/>
        <v>0.69696969696969546</v>
      </c>
      <c r="D261" s="1">
        <f t="shared" si="13"/>
        <v>0</v>
      </c>
      <c r="E261" s="1">
        <f t="shared" si="13"/>
        <v>0</v>
      </c>
      <c r="F261" s="1">
        <f t="shared" si="13"/>
        <v>0</v>
      </c>
      <c r="G261" s="1">
        <f t="shared" si="13"/>
        <v>0.50505050505050764</v>
      </c>
      <c r="H261" s="1">
        <f t="shared" si="13"/>
        <v>0.49494949494949242</v>
      </c>
    </row>
    <row r="262" spans="1:8" x14ac:dyDescent="0.3">
      <c r="A262" s="2">
        <v>253</v>
      </c>
      <c r="B262" s="3">
        <f t="shared" si="11"/>
        <v>0.70370370370370217</v>
      </c>
      <c r="D262" s="1">
        <f t="shared" si="13"/>
        <v>0</v>
      </c>
      <c r="E262" s="1">
        <f t="shared" si="13"/>
        <v>0</v>
      </c>
      <c r="F262" s="1">
        <f t="shared" si="13"/>
        <v>0</v>
      </c>
      <c r="G262" s="1">
        <f t="shared" si="13"/>
        <v>0.49382716049382974</v>
      </c>
      <c r="H262" s="1">
        <f t="shared" si="13"/>
        <v>0.50617283950617031</v>
      </c>
    </row>
    <row r="263" spans="1:8" x14ac:dyDescent="0.3">
      <c r="A263" s="2">
        <v>254</v>
      </c>
      <c r="B263" s="3">
        <f t="shared" si="11"/>
        <v>0.71043771043770887</v>
      </c>
      <c r="D263" s="1">
        <f t="shared" si="13"/>
        <v>0</v>
      </c>
      <c r="E263" s="1">
        <f t="shared" si="13"/>
        <v>0</v>
      </c>
      <c r="F263" s="1">
        <f t="shared" si="13"/>
        <v>0</v>
      </c>
      <c r="G263" s="1">
        <f t="shared" si="13"/>
        <v>0.4826038159371519</v>
      </c>
      <c r="H263" s="1">
        <f t="shared" si="13"/>
        <v>0.51739618406284815</v>
      </c>
    </row>
    <row r="264" spans="1:8" x14ac:dyDescent="0.3">
      <c r="A264" s="2">
        <v>255</v>
      </c>
      <c r="B264" s="3">
        <f t="shared" si="11"/>
        <v>0.71717171717171557</v>
      </c>
      <c r="D264" s="1">
        <f t="shared" si="13"/>
        <v>0</v>
      </c>
      <c r="E264" s="1">
        <f t="shared" si="13"/>
        <v>0</v>
      </c>
      <c r="F264" s="1">
        <f t="shared" si="13"/>
        <v>0</v>
      </c>
      <c r="G264" s="1">
        <f t="shared" si="13"/>
        <v>0.47138047138047406</v>
      </c>
      <c r="H264" s="1">
        <f t="shared" si="13"/>
        <v>0.52861952861952599</v>
      </c>
    </row>
    <row r="265" spans="1:8" x14ac:dyDescent="0.3">
      <c r="A265" s="2">
        <v>256</v>
      </c>
      <c r="B265" s="3">
        <f t="shared" si="11"/>
        <v>0.72390572390572228</v>
      </c>
      <c r="D265" s="1">
        <f t="shared" si="13"/>
        <v>0</v>
      </c>
      <c r="E265" s="1">
        <f t="shared" si="13"/>
        <v>0</v>
      </c>
      <c r="F265" s="1">
        <f t="shared" si="13"/>
        <v>0</v>
      </c>
      <c r="G265" s="1">
        <f t="shared" si="13"/>
        <v>0.46015712682379623</v>
      </c>
      <c r="H265" s="1">
        <f t="shared" si="13"/>
        <v>0.53984287317620383</v>
      </c>
    </row>
    <row r="266" spans="1:8" x14ac:dyDescent="0.3">
      <c r="A266" s="2">
        <v>257</v>
      </c>
      <c r="B266" s="3">
        <f t="shared" si="11"/>
        <v>0.73063973063972898</v>
      </c>
      <c r="D266" s="1">
        <f t="shared" si="13"/>
        <v>0</v>
      </c>
      <c r="E266" s="1">
        <f t="shared" si="13"/>
        <v>0</v>
      </c>
      <c r="F266" s="1">
        <f t="shared" si="13"/>
        <v>0</v>
      </c>
      <c r="G266" s="1">
        <f t="shared" si="13"/>
        <v>0.44893378226711839</v>
      </c>
      <c r="H266" s="1">
        <f t="shared" si="13"/>
        <v>0.55106621773288167</v>
      </c>
    </row>
    <row r="267" spans="1:8" x14ac:dyDescent="0.3">
      <c r="A267" s="2">
        <v>258</v>
      </c>
      <c r="B267" s="3">
        <f t="shared" ref="B267:B305" si="14">B266+((B$306-B$9)/297)</f>
        <v>0.73737373737373568</v>
      </c>
      <c r="D267" s="1">
        <f t="shared" si="13"/>
        <v>0</v>
      </c>
      <c r="E267" s="1">
        <f t="shared" si="13"/>
        <v>0</v>
      </c>
      <c r="F267" s="1">
        <f t="shared" si="13"/>
        <v>0</v>
      </c>
      <c r="G267" s="1">
        <f t="shared" si="13"/>
        <v>0.43771043771044055</v>
      </c>
      <c r="H267" s="1">
        <f t="shared" si="13"/>
        <v>0.56228956228955951</v>
      </c>
    </row>
    <row r="268" spans="1:8" x14ac:dyDescent="0.3">
      <c r="A268" s="2">
        <v>259</v>
      </c>
      <c r="B268" s="3">
        <f t="shared" si="14"/>
        <v>0.74410774410774239</v>
      </c>
      <c r="D268" s="1">
        <f t="shared" si="13"/>
        <v>0</v>
      </c>
      <c r="E268" s="1">
        <f t="shared" si="13"/>
        <v>0</v>
      </c>
      <c r="F268" s="1">
        <f t="shared" si="13"/>
        <v>0</v>
      </c>
      <c r="G268" s="1">
        <f t="shared" si="13"/>
        <v>0.42648709315376271</v>
      </c>
      <c r="H268" s="1">
        <f t="shared" si="13"/>
        <v>0.57351290684623735</v>
      </c>
    </row>
    <row r="269" spans="1:8" x14ac:dyDescent="0.3">
      <c r="A269" s="2">
        <v>260</v>
      </c>
      <c r="B269" s="3">
        <f t="shared" si="14"/>
        <v>0.75084175084174909</v>
      </c>
      <c r="D269" s="1">
        <f t="shared" ref="D269:H306" si="15">IF($B269&gt;D$5,0,IF($B269&gt;D$4,(D$5-$B269)/(D$5-D$4),IF($B269&gt;D$3,1,IF($B269&gt;D$2,($B269-D$2)/(D$3-D$2),0))))</f>
        <v>0</v>
      </c>
      <c r="E269" s="1">
        <f t="shared" si="15"/>
        <v>0</v>
      </c>
      <c r="F269" s="1">
        <f t="shared" si="15"/>
        <v>0</v>
      </c>
      <c r="G269" s="1">
        <f t="shared" si="15"/>
        <v>0.41526374859708487</v>
      </c>
      <c r="H269" s="1">
        <f t="shared" si="15"/>
        <v>0.58473625140291519</v>
      </c>
    </row>
    <row r="270" spans="1:8" x14ac:dyDescent="0.3">
      <c r="A270" s="2">
        <v>261</v>
      </c>
      <c r="B270" s="3">
        <f t="shared" si="14"/>
        <v>0.75757575757575579</v>
      </c>
      <c r="D270" s="1">
        <f t="shared" si="15"/>
        <v>0</v>
      </c>
      <c r="E270" s="1">
        <f t="shared" si="15"/>
        <v>0</v>
      </c>
      <c r="F270" s="1">
        <f t="shared" si="15"/>
        <v>0</v>
      </c>
      <c r="G270" s="1">
        <f t="shared" si="15"/>
        <v>0.40404040404040703</v>
      </c>
      <c r="H270" s="1">
        <f t="shared" si="15"/>
        <v>0.59595959595959302</v>
      </c>
    </row>
    <row r="271" spans="1:8" x14ac:dyDescent="0.3">
      <c r="A271" s="2">
        <v>262</v>
      </c>
      <c r="B271" s="3">
        <f t="shared" si="14"/>
        <v>0.7643097643097625</v>
      </c>
      <c r="D271" s="1">
        <f t="shared" si="15"/>
        <v>0</v>
      </c>
      <c r="E271" s="1">
        <f t="shared" si="15"/>
        <v>0</v>
      </c>
      <c r="F271" s="1">
        <f t="shared" si="15"/>
        <v>0</v>
      </c>
      <c r="G271" s="1">
        <f t="shared" si="15"/>
        <v>0.39281705948372919</v>
      </c>
      <c r="H271" s="1">
        <f t="shared" si="15"/>
        <v>0.60718294051627086</v>
      </c>
    </row>
    <row r="272" spans="1:8" x14ac:dyDescent="0.3">
      <c r="A272" s="2">
        <v>263</v>
      </c>
      <c r="B272" s="3">
        <f t="shared" si="14"/>
        <v>0.7710437710437692</v>
      </c>
      <c r="D272" s="1">
        <f t="shared" si="15"/>
        <v>0</v>
      </c>
      <c r="E272" s="1">
        <f t="shared" si="15"/>
        <v>0</v>
      </c>
      <c r="F272" s="1">
        <f t="shared" si="15"/>
        <v>0</v>
      </c>
      <c r="G272" s="1">
        <f t="shared" si="15"/>
        <v>0.38159371492705135</v>
      </c>
      <c r="H272" s="1">
        <f t="shared" si="15"/>
        <v>0.6184062850729487</v>
      </c>
    </row>
    <row r="273" spans="1:8" x14ac:dyDescent="0.3">
      <c r="A273" s="2">
        <v>264</v>
      </c>
      <c r="B273" s="3">
        <f t="shared" si="14"/>
        <v>0.7777777777777759</v>
      </c>
      <c r="D273" s="1">
        <f t="shared" si="15"/>
        <v>0</v>
      </c>
      <c r="E273" s="1">
        <f t="shared" si="15"/>
        <v>0</v>
      </c>
      <c r="F273" s="1">
        <f t="shared" si="15"/>
        <v>0</v>
      </c>
      <c r="G273" s="1">
        <f t="shared" si="15"/>
        <v>0.37037037037037351</v>
      </c>
      <c r="H273" s="1">
        <f t="shared" si="15"/>
        <v>0.62962962962962654</v>
      </c>
    </row>
    <row r="274" spans="1:8" x14ac:dyDescent="0.3">
      <c r="A274" s="2">
        <v>265</v>
      </c>
      <c r="B274" s="3">
        <f t="shared" si="14"/>
        <v>0.78451178451178261</v>
      </c>
      <c r="D274" s="1">
        <f t="shared" si="15"/>
        <v>0</v>
      </c>
      <c r="E274" s="1">
        <f t="shared" si="15"/>
        <v>0</v>
      </c>
      <c r="F274" s="1">
        <f t="shared" si="15"/>
        <v>0</v>
      </c>
      <c r="G274" s="1">
        <f t="shared" si="15"/>
        <v>0.35914702581369568</v>
      </c>
      <c r="H274" s="1">
        <f t="shared" si="15"/>
        <v>0.64085297418630438</v>
      </c>
    </row>
    <row r="275" spans="1:8" x14ac:dyDescent="0.3">
      <c r="A275" s="2">
        <v>266</v>
      </c>
      <c r="B275" s="3">
        <f t="shared" si="14"/>
        <v>0.79124579124578931</v>
      </c>
      <c r="D275" s="1">
        <f t="shared" si="15"/>
        <v>0</v>
      </c>
      <c r="E275" s="1">
        <f t="shared" si="15"/>
        <v>0</v>
      </c>
      <c r="F275" s="1">
        <f t="shared" si="15"/>
        <v>0</v>
      </c>
      <c r="G275" s="1">
        <f t="shared" si="15"/>
        <v>0.34792368125701784</v>
      </c>
      <c r="H275" s="1">
        <f t="shared" si="15"/>
        <v>0.65207631874298222</v>
      </c>
    </row>
    <row r="276" spans="1:8" x14ac:dyDescent="0.3">
      <c r="A276" s="2">
        <v>267</v>
      </c>
      <c r="B276" s="3">
        <f t="shared" si="14"/>
        <v>0.79797979797979601</v>
      </c>
      <c r="D276" s="1">
        <f t="shared" si="15"/>
        <v>0</v>
      </c>
      <c r="E276" s="1">
        <f t="shared" si="15"/>
        <v>0</v>
      </c>
      <c r="F276" s="1">
        <f t="shared" si="15"/>
        <v>0</v>
      </c>
      <c r="G276" s="1">
        <f t="shared" si="15"/>
        <v>0.33670033670034</v>
      </c>
      <c r="H276" s="1">
        <f t="shared" si="15"/>
        <v>0.66329966329966006</v>
      </c>
    </row>
    <row r="277" spans="1:8" x14ac:dyDescent="0.3">
      <c r="A277" s="2">
        <v>268</v>
      </c>
      <c r="B277" s="3">
        <f t="shared" si="14"/>
        <v>0.80471380471380272</v>
      </c>
      <c r="D277" s="1">
        <f t="shared" si="15"/>
        <v>0</v>
      </c>
      <c r="E277" s="1">
        <f t="shared" si="15"/>
        <v>0</v>
      </c>
      <c r="F277" s="1">
        <f t="shared" si="15"/>
        <v>0</v>
      </c>
      <c r="G277" s="1">
        <f t="shared" si="15"/>
        <v>0.32547699214366216</v>
      </c>
      <c r="H277" s="1">
        <f t="shared" si="15"/>
        <v>0.6745230078563379</v>
      </c>
    </row>
    <row r="278" spans="1:8" x14ac:dyDescent="0.3">
      <c r="A278" s="2">
        <v>269</v>
      </c>
      <c r="B278" s="3">
        <f t="shared" si="14"/>
        <v>0.81144781144780942</v>
      </c>
      <c r="D278" s="1">
        <f t="shared" si="15"/>
        <v>0</v>
      </c>
      <c r="E278" s="1">
        <f t="shared" si="15"/>
        <v>0</v>
      </c>
      <c r="F278" s="1">
        <f t="shared" si="15"/>
        <v>0</v>
      </c>
      <c r="G278" s="1">
        <f t="shared" si="15"/>
        <v>0.31425364758698432</v>
      </c>
      <c r="H278" s="1">
        <f t="shared" si="15"/>
        <v>0.68574635241301574</v>
      </c>
    </row>
    <row r="279" spans="1:8" x14ac:dyDescent="0.3">
      <c r="A279" s="2">
        <v>270</v>
      </c>
      <c r="B279" s="3">
        <f t="shared" si="14"/>
        <v>0.81818181818181612</v>
      </c>
      <c r="D279" s="1">
        <f t="shared" si="15"/>
        <v>0</v>
      </c>
      <c r="E279" s="1">
        <f t="shared" si="15"/>
        <v>0</v>
      </c>
      <c r="F279" s="1">
        <f t="shared" si="15"/>
        <v>0</v>
      </c>
      <c r="G279" s="1">
        <f t="shared" si="15"/>
        <v>0.30303030303030648</v>
      </c>
      <c r="H279" s="1">
        <f t="shared" si="15"/>
        <v>0.69696969696969358</v>
      </c>
    </row>
    <row r="280" spans="1:8" x14ac:dyDescent="0.3">
      <c r="A280" s="2">
        <v>271</v>
      </c>
      <c r="B280" s="3">
        <f t="shared" si="14"/>
        <v>0.82491582491582283</v>
      </c>
      <c r="D280" s="1">
        <f t="shared" si="15"/>
        <v>0</v>
      </c>
      <c r="E280" s="1">
        <f t="shared" si="15"/>
        <v>0</v>
      </c>
      <c r="F280" s="1">
        <f t="shared" si="15"/>
        <v>0</v>
      </c>
      <c r="G280" s="1">
        <f t="shared" si="15"/>
        <v>0.29180695847362864</v>
      </c>
      <c r="H280" s="1">
        <f t="shared" si="15"/>
        <v>0.70819304152637141</v>
      </c>
    </row>
    <row r="281" spans="1:8" x14ac:dyDescent="0.3">
      <c r="A281" s="2">
        <v>272</v>
      </c>
      <c r="B281" s="3">
        <f t="shared" si="14"/>
        <v>0.83164983164982953</v>
      </c>
      <c r="D281" s="1">
        <f t="shared" si="15"/>
        <v>0</v>
      </c>
      <c r="E281" s="1">
        <f t="shared" si="15"/>
        <v>0</v>
      </c>
      <c r="F281" s="1">
        <f t="shared" si="15"/>
        <v>0</v>
      </c>
      <c r="G281" s="1">
        <f t="shared" si="15"/>
        <v>0.2805836139169508</v>
      </c>
      <c r="H281" s="1">
        <f t="shared" si="15"/>
        <v>0.71941638608304925</v>
      </c>
    </row>
    <row r="282" spans="1:8" x14ac:dyDescent="0.3">
      <c r="A282" s="2">
        <v>273</v>
      </c>
      <c r="B282" s="3">
        <f t="shared" si="14"/>
        <v>0.83838383838383623</v>
      </c>
      <c r="D282" s="1">
        <f t="shared" si="15"/>
        <v>0</v>
      </c>
      <c r="E282" s="1">
        <f t="shared" si="15"/>
        <v>0</v>
      </c>
      <c r="F282" s="1">
        <f t="shared" si="15"/>
        <v>0</v>
      </c>
      <c r="G282" s="1">
        <f t="shared" si="15"/>
        <v>0.26936026936027296</v>
      </c>
      <c r="H282" s="1">
        <f t="shared" si="15"/>
        <v>0.73063973063972709</v>
      </c>
    </row>
    <row r="283" spans="1:8" x14ac:dyDescent="0.3">
      <c r="A283" s="2">
        <v>274</v>
      </c>
      <c r="B283" s="3">
        <f t="shared" si="14"/>
        <v>0.84511784511784294</v>
      </c>
      <c r="D283" s="1">
        <f t="shared" si="15"/>
        <v>0</v>
      </c>
      <c r="E283" s="1">
        <f t="shared" si="15"/>
        <v>0</v>
      </c>
      <c r="F283" s="1">
        <f t="shared" si="15"/>
        <v>0</v>
      </c>
      <c r="G283" s="1">
        <f t="shared" si="15"/>
        <v>0.25813692480359512</v>
      </c>
      <c r="H283" s="1">
        <f t="shared" si="15"/>
        <v>0.74186307519640493</v>
      </c>
    </row>
    <row r="284" spans="1:8" x14ac:dyDescent="0.3">
      <c r="A284" s="2">
        <v>275</v>
      </c>
      <c r="B284" s="3">
        <f t="shared" si="14"/>
        <v>0.85185185185184964</v>
      </c>
      <c r="D284" s="1">
        <f t="shared" si="15"/>
        <v>0</v>
      </c>
      <c r="E284" s="1">
        <f t="shared" si="15"/>
        <v>0</v>
      </c>
      <c r="F284" s="1">
        <f t="shared" si="15"/>
        <v>0</v>
      </c>
      <c r="G284" s="1">
        <f t="shared" si="15"/>
        <v>0.24691358024691729</v>
      </c>
      <c r="H284" s="1">
        <f t="shared" si="15"/>
        <v>0.75308641975308277</v>
      </c>
    </row>
    <row r="285" spans="1:8" x14ac:dyDescent="0.3">
      <c r="A285" s="2">
        <v>276</v>
      </c>
      <c r="B285" s="3">
        <f t="shared" si="14"/>
        <v>0.85858585858585634</v>
      </c>
      <c r="D285" s="1">
        <f t="shared" si="15"/>
        <v>0</v>
      </c>
      <c r="E285" s="1">
        <f t="shared" si="15"/>
        <v>0</v>
      </c>
      <c r="F285" s="1">
        <f t="shared" si="15"/>
        <v>0</v>
      </c>
      <c r="G285" s="1">
        <f t="shared" si="15"/>
        <v>0.23569023569023945</v>
      </c>
      <c r="H285" s="1">
        <f t="shared" si="15"/>
        <v>0.76430976430976061</v>
      </c>
    </row>
    <row r="286" spans="1:8" x14ac:dyDescent="0.3">
      <c r="A286" s="2">
        <v>277</v>
      </c>
      <c r="B286" s="3">
        <f t="shared" si="14"/>
        <v>0.86531986531986305</v>
      </c>
      <c r="D286" s="1">
        <f t="shared" si="15"/>
        <v>0</v>
      </c>
      <c r="E286" s="1">
        <f t="shared" si="15"/>
        <v>0</v>
      </c>
      <c r="F286" s="1">
        <f t="shared" si="15"/>
        <v>0</v>
      </c>
      <c r="G286" s="1">
        <f t="shared" si="15"/>
        <v>0.22446689113356161</v>
      </c>
      <c r="H286" s="1">
        <f t="shared" si="15"/>
        <v>0.77553310886643845</v>
      </c>
    </row>
    <row r="287" spans="1:8" x14ac:dyDescent="0.3">
      <c r="A287" s="2">
        <v>278</v>
      </c>
      <c r="B287" s="3">
        <f t="shared" si="14"/>
        <v>0.87205387205386975</v>
      </c>
      <c r="D287" s="1">
        <f t="shared" si="15"/>
        <v>0</v>
      </c>
      <c r="E287" s="1">
        <f t="shared" si="15"/>
        <v>0</v>
      </c>
      <c r="F287" s="1">
        <f t="shared" si="15"/>
        <v>0</v>
      </c>
      <c r="G287" s="1">
        <f t="shared" si="15"/>
        <v>0.21324354657688377</v>
      </c>
      <c r="H287" s="1">
        <f t="shared" si="15"/>
        <v>0.78675645342311629</v>
      </c>
    </row>
    <row r="288" spans="1:8" x14ac:dyDescent="0.3">
      <c r="A288" s="2">
        <v>279</v>
      </c>
      <c r="B288" s="3">
        <f t="shared" si="14"/>
        <v>0.87878787878787645</v>
      </c>
      <c r="D288" s="1">
        <f t="shared" si="15"/>
        <v>0</v>
      </c>
      <c r="E288" s="1">
        <f t="shared" si="15"/>
        <v>0</v>
      </c>
      <c r="F288" s="1">
        <f t="shared" si="15"/>
        <v>0</v>
      </c>
      <c r="G288" s="1">
        <f t="shared" si="15"/>
        <v>0.20202020202020593</v>
      </c>
      <c r="H288" s="1">
        <f t="shared" si="15"/>
        <v>0.79797979797979413</v>
      </c>
    </row>
    <row r="289" spans="1:8" x14ac:dyDescent="0.3">
      <c r="A289" s="2">
        <v>280</v>
      </c>
      <c r="B289" s="3">
        <f t="shared" si="14"/>
        <v>0.88552188552188316</v>
      </c>
      <c r="D289" s="1">
        <f t="shared" si="15"/>
        <v>0</v>
      </c>
      <c r="E289" s="1">
        <f t="shared" si="15"/>
        <v>0</v>
      </c>
      <c r="F289" s="1">
        <f t="shared" si="15"/>
        <v>0</v>
      </c>
      <c r="G289" s="1">
        <f t="shared" si="15"/>
        <v>0.19079685746352809</v>
      </c>
      <c r="H289" s="11">
        <f t="shared" si="15"/>
        <v>0.80920314253647196</v>
      </c>
    </row>
    <row r="290" spans="1:8" x14ac:dyDescent="0.3">
      <c r="A290" s="2">
        <v>281</v>
      </c>
      <c r="B290" s="3">
        <f t="shared" si="14"/>
        <v>0.89225589225588986</v>
      </c>
      <c r="D290" s="1">
        <f t="shared" si="15"/>
        <v>0</v>
      </c>
      <c r="E290" s="1">
        <f t="shared" si="15"/>
        <v>0</v>
      </c>
      <c r="F290" s="1">
        <f t="shared" si="15"/>
        <v>0</v>
      </c>
      <c r="G290" s="1">
        <f t="shared" si="15"/>
        <v>0.17957351290685025</v>
      </c>
      <c r="H290" s="11">
        <f t="shared" si="15"/>
        <v>0.8204264870931498</v>
      </c>
    </row>
    <row r="291" spans="1:8" x14ac:dyDescent="0.3">
      <c r="A291" s="2">
        <v>282</v>
      </c>
      <c r="B291" s="3">
        <f t="shared" si="14"/>
        <v>0.89898989898989656</v>
      </c>
      <c r="D291" s="1">
        <f t="shared" si="15"/>
        <v>0</v>
      </c>
      <c r="E291" s="1">
        <f t="shared" si="15"/>
        <v>0</v>
      </c>
      <c r="F291" s="1">
        <f t="shared" si="15"/>
        <v>0</v>
      </c>
      <c r="G291" s="1">
        <f t="shared" si="15"/>
        <v>0.16835016835017241</v>
      </c>
      <c r="H291" s="11">
        <f t="shared" si="15"/>
        <v>0.83164983164982764</v>
      </c>
    </row>
    <row r="292" spans="1:8" x14ac:dyDescent="0.3">
      <c r="A292" s="2">
        <v>283</v>
      </c>
      <c r="B292" s="3">
        <f t="shared" si="14"/>
        <v>0.90572390572390327</v>
      </c>
      <c r="D292" s="1">
        <f t="shared" si="15"/>
        <v>0</v>
      </c>
      <c r="E292" s="1">
        <f t="shared" si="15"/>
        <v>0</v>
      </c>
      <c r="F292" s="1">
        <f t="shared" si="15"/>
        <v>0</v>
      </c>
      <c r="G292" s="1">
        <f t="shared" si="15"/>
        <v>0.15712682379349457</v>
      </c>
      <c r="H292" s="11">
        <f t="shared" si="15"/>
        <v>0.84287317620650548</v>
      </c>
    </row>
    <row r="293" spans="1:8" x14ac:dyDescent="0.3">
      <c r="A293" s="2">
        <v>284</v>
      </c>
      <c r="B293" s="3">
        <f t="shared" si="14"/>
        <v>0.91245791245790997</v>
      </c>
      <c r="D293" s="1">
        <f t="shared" si="15"/>
        <v>0</v>
      </c>
      <c r="E293" s="1">
        <f t="shared" si="15"/>
        <v>0</v>
      </c>
      <c r="F293" s="1">
        <f t="shared" si="15"/>
        <v>0</v>
      </c>
      <c r="G293" s="1">
        <f t="shared" si="15"/>
        <v>0.14590347923681674</v>
      </c>
      <c r="H293" s="11">
        <f t="shared" si="15"/>
        <v>0.85409652076318332</v>
      </c>
    </row>
    <row r="294" spans="1:8" x14ac:dyDescent="0.3">
      <c r="A294" s="2">
        <v>285</v>
      </c>
      <c r="B294" s="3">
        <f t="shared" si="14"/>
        <v>0.91919191919191667</v>
      </c>
      <c r="D294" s="1">
        <f t="shared" si="15"/>
        <v>0</v>
      </c>
      <c r="E294" s="1">
        <f t="shared" si="15"/>
        <v>0</v>
      </c>
      <c r="F294" s="1">
        <f t="shared" si="15"/>
        <v>0</v>
      </c>
      <c r="G294" s="1">
        <f t="shared" si="15"/>
        <v>0.1346801346801389</v>
      </c>
      <c r="H294" s="11">
        <f t="shared" si="15"/>
        <v>0.86531986531986116</v>
      </c>
    </row>
    <row r="295" spans="1:8" x14ac:dyDescent="0.3">
      <c r="A295" s="2">
        <v>286</v>
      </c>
      <c r="B295" s="3">
        <f t="shared" si="14"/>
        <v>0.92592592592592338</v>
      </c>
      <c r="D295" s="1">
        <f t="shared" si="15"/>
        <v>0</v>
      </c>
      <c r="E295" s="1">
        <f t="shared" si="15"/>
        <v>0</v>
      </c>
      <c r="F295" s="1">
        <f t="shared" si="15"/>
        <v>0</v>
      </c>
      <c r="G295" s="1">
        <f t="shared" si="15"/>
        <v>0.12345679012346104</v>
      </c>
      <c r="H295" s="11">
        <f t="shared" si="15"/>
        <v>0.876543209876539</v>
      </c>
    </row>
    <row r="296" spans="1:8" x14ac:dyDescent="0.3">
      <c r="A296" s="2">
        <v>287</v>
      </c>
      <c r="B296" s="3">
        <f t="shared" si="14"/>
        <v>0.93265993265993008</v>
      </c>
      <c r="D296" s="1">
        <f t="shared" si="15"/>
        <v>0</v>
      </c>
      <c r="E296" s="1">
        <f t="shared" si="15"/>
        <v>0</v>
      </c>
      <c r="F296" s="1">
        <f t="shared" si="15"/>
        <v>0</v>
      </c>
      <c r="G296" s="1">
        <f t="shared" si="15"/>
        <v>0.1122334455667832</v>
      </c>
      <c r="H296" s="11">
        <f t="shared" si="15"/>
        <v>0.88776655443321684</v>
      </c>
    </row>
    <row r="297" spans="1:8" x14ac:dyDescent="0.3">
      <c r="A297" s="2">
        <v>288</v>
      </c>
      <c r="B297" s="3">
        <f t="shared" si="14"/>
        <v>0.93939393939393678</v>
      </c>
      <c r="D297" s="1">
        <f t="shared" si="15"/>
        <v>0</v>
      </c>
      <c r="E297" s="1">
        <f t="shared" si="15"/>
        <v>0</v>
      </c>
      <c r="F297" s="1">
        <f t="shared" si="15"/>
        <v>0</v>
      </c>
      <c r="G297" s="1">
        <f t="shared" si="15"/>
        <v>0.10101010101010537</v>
      </c>
      <c r="H297" s="11">
        <f t="shared" si="15"/>
        <v>0.89898989898989468</v>
      </c>
    </row>
    <row r="298" spans="1:8" x14ac:dyDescent="0.3">
      <c r="A298" s="2">
        <v>289</v>
      </c>
      <c r="B298" s="3">
        <f t="shared" si="14"/>
        <v>0.94612794612794349</v>
      </c>
      <c r="D298" s="1">
        <f t="shared" si="15"/>
        <v>0</v>
      </c>
      <c r="E298" s="1">
        <f t="shared" si="15"/>
        <v>0</v>
      </c>
      <c r="F298" s="1">
        <f t="shared" si="15"/>
        <v>0</v>
      </c>
      <c r="G298" s="1">
        <f t="shared" si="15"/>
        <v>8.9786756453427527E-2</v>
      </c>
      <c r="H298" s="11">
        <f t="shared" si="15"/>
        <v>0.91021324354657251</v>
      </c>
    </row>
    <row r="299" spans="1:8" x14ac:dyDescent="0.3">
      <c r="A299" s="2">
        <v>290</v>
      </c>
      <c r="B299" s="3">
        <f t="shared" si="14"/>
        <v>0.95286195286195019</v>
      </c>
      <c r="D299" s="1">
        <f t="shared" si="15"/>
        <v>0</v>
      </c>
      <c r="E299" s="1">
        <f t="shared" si="15"/>
        <v>0</v>
      </c>
      <c r="F299" s="1">
        <f t="shared" si="15"/>
        <v>0</v>
      </c>
      <c r="G299" s="1">
        <f t="shared" si="15"/>
        <v>7.8563411896749688E-2</v>
      </c>
      <c r="H299" s="11">
        <f t="shared" si="15"/>
        <v>0.92143658810325035</v>
      </c>
    </row>
    <row r="300" spans="1:8" x14ac:dyDescent="0.3">
      <c r="A300" s="2">
        <v>291</v>
      </c>
      <c r="B300" s="3">
        <f t="shared" si="14"/>
        <v>0.95959595959595689</v>
      </c>
      <c r="D300" s="1">
        <f t="shared" si="15"/>
        <v>0</v>
      </c>
      <c r="E300" s="1">
        <f t="shared" si="15"/>
        <v>0</v>
      </c>
      <c r="F300" s="1">
        <f t="shared" si="15"/>
        <v>0</v>
      </c>
      <c r="G300" s="1">
        <f t="shared" si="15"/>
        <v>6.7340067340071849E-2</v>
      </c>
      <c r="H300" s="11">
        <f t="shared" si="15"/>
        <v>0.93265993265992819</v>
      </c>
    </row>
    <row r="301" spans="1:8" x14ac:dyDescent="0.3">
      <c r="A301" s="2">
        <v>292</v>
      </c>
      <c r="B301" s="3">
        <f t="shared" si="14"/>
        <v>0.9663299663299636</v>
      </c>
      <c r="D301" s="1">
        <f t="shared" si="15"/>
        <v>0</v>
      </c>
      <c r="E301" s="1">
        <f t="shared" si="15"/>
        <v>0</v>
      </c>
      <c r="F301" s="1">
        <f t="shared" si="15"/>
        <v>0</v>
      </c>
      <c r="G301" s="1">
        <f t="shared" si="15"/>
        <v>5.611672278339401E-2</v>
      </c>
      <c r="H301" s="11">
        <f t="shared" si="15"/>
        <v>0.94388327721660603</v>
      </c>
    </row>
    <row r="302" spans="1:8" x14ac:dyDescent="0.3">
      <c r="A302" s="2">
        <v>293</v>
      </c>
      <c r="B302" s="3">
        <f t="shared" si="14"/>
        <v>0.9730639730639703</v>
      </c>
      <c r="D302" s="1">
        <f t="shared" si="15"/>
        <v>0</v>
      </c>
      <c r="E302" s="1">
        <f t="shared" si="15"/>
        <v>0</v>
      </c>
      <c r="F302" s="1">
        <f t="shared" si="15"/>
        <v>0</v>
      </c>
      <c r="G302" s="1">
        <f t="shared" si="15"/>
        <v>4.4893378226716171E-2</v>
      </c>
      <c r="H302" s="11">
        <f t="shared" si="15"/>
        <v>0.95510662177328387</v>
      </c>
    </row>
    <row r="303" spans="1:8" x14ac:dyDescent="0.3">
      <c r="A303" s="2">
        <v>294</v>
      </c>
      <c r="B303" s="3">
        <f t="shared" si="14"/>
        <v>0.979797979797977</v>
      </c>
      <c r="D303" s="1">
        <f t="shared" si="15"/>
        <v>0</v>
      </c>
      <c r="E303" s="1">
        <f t="shared" si="15"/>
        <v>0</v>
      </c>
      <c r="F303" s="1">
        <f t="shared" si="15"/>
        <v>0</v>
      </c>
      <c r="G303" s="1">
        <f t="shared" si="15"/>
        <v>3.3670033670038332E-2</v>
      </c>
      <c r="H303" s="11">
        <f t="shared" si="15"/>
        <v>0.96632996632996171</v>
      </c>
    </row>
    <row r="304" spans="1:8" x14ac:dyDescent="0.3">
      <c r="A304" s="2">
        <v>295</v>
      </c>
      <c r="B304" s="3">
        <f t="shared" si="14"/>
        <v>0.98653198653198371</v>
      </c>
      <c r="D304" s="1">
        <f t="shared" si="15"/>
        <v>0</v>
      </c>
      <c r="E304" s="1">
        <f t="shared" si="15"/>
        <v>0</v>
      </c>
      <c r="F304" s="1">
        <f t="shared" si="15"/>
        <v>0</v>
      </c>
      <c r="G304" s="1">
        <f t="shared" si="15"/>
        <v>2.244668911336049E-2</v>
      </c>
      <c r="H304" s="11">
        <f t="shared" si="15"/>
        <v>0.97755331088663955</v>
      </c>
    </row>
    <row r="305" spans="1:8" x14ac:dyDescent="0.3">
      <c r="A305" s="2">
        <v>296</v>
      </c>
      <c r="B305" s="3">
        <f t="shared" si="14"/>
        <v>0.99326599326599041</v>
      </c>
      <c r="D305" s="1">
        <f t="shared" si="15"/>
        <v>0</v>
      </c>
      <c r="E305" s="1">
        <f t="shared" si="15"/>
        <v>0</v>
      </c>
      <c r="F305" s="1">
        <f t="shared" si="15"/>
        <v>0</v>
      </c>
      <c r="G305" s="1">
        <f t="shared" si="15"/>
        <v>1.1223344556682651E-2</v>
      </c>
      <c r="H305" s="11">
        <f t="shared" si="15"/>
        <v>0.98877665544331739</v>
      </c>
    </row>
    <row r="306" spans="1:8" x14ac:dyDescent="0.3">
      <c r="A306" s="2">
        <v>297</v>
      </c>
      <c r="B306" s="1">
        <v>1</v>
      </c>
      <c r="D306" s="1">
        <f t="shared" si="15"/>
        <v>0</v>
      </c>
      <c r="E306" s="1">
        <f t="shared" si="15"/>
        <v>0</v>
      </c>
      <c r="F306" s="1">
        <f t="shared" si="15"/>
        <v>0</v>
      </c>
      <c r="G306" s="1">
        <f t="shared" si="15"/>
        <v>0</v>
      </c>
      <c r="H306" s="11">
        <f t="shared" si="15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L306"/>
  <sheetViews>
    <sheetView topLeftCell="A8" zoomScaleNormal="100" workbookViewId="0"/>
  </sheetViews>
  <sheetFormatPr baseColWidth="10" defaultColWidth="11.44140625" defaultRowHeight="14.4" x14ac:dyDescent="0.3"/>
  <cols>
    <col min="1" max="16384" width="11.44140625" style="1"/>
  </cols>
  <sheetData>
    <row r="2" spans="1:10" x14ac:dyDescent="0.3">
      <c r="C2" s="1" t="s">
        <v>0</v>
      </c>
      <c r="D2" s="1">
        <f>3*(-2)</f>
        <v>-6</v>
      </c>
      <c r="E2" s="1">
        <f>J4*(-2)</f>
        <v>-0.2</v>
      </c>
      <c r="F2" s="1">
        <v>0</v>
      </c>
    </row>
    <row r="3" spans="1:10" x14ac:dyDescent="0.3">
      <c r="C3" s="1" t="s">
        <v>1</v>
      </c>
      <c r="D3" s="1">
        <f>2*(-2)</f>
        <v>-4</v>
      </c>
      <c r="E3" s="1">
        <v>0</v>
      </c>
      <c r="F3" s="1">
        <f>J4*2</f>
        <v>0.2</v>
      </c>
    </row>
    <row r="4" spans="1:10" x14ac:dyDescent="0.3">
      <c r="C4" s="1" t="s">
        <v>2</v>
      </c>
      <c r="D4" s="1">
        <f>J4*(-2)</f>
        <v>-0.2</v>
      </c>
      <c r="E4" s="1">
        <v>0</v>
      </c>
      <c r="F4" s="1">
        <f>2*(2)</f>
        <v>4</v>
      </c>
      <c r="J4" s="1">
        <v>0.1</v>
      </c>
    </row>
    <row r="5" spans="1:10" x14ac:dyDescent="0.3">
      <c r="C5" s="1" t="s">
        <v>3</v>
      </c>
      <c r="D5" s="1">
        <v>0</v>
      </c>
      <c r="E5" s="1">
        <f>J4*2</f>
        <v>0.2</v>
      </c>
      <c r="F5" s="1">
        <f>3*(2)</f>
        <v>6</v>
      </c>
      <c r="J5" s="1" t="s">
        <v>13</v>
      </c>
    </row>
    <row r="7" spans="1:10" x14ac:dyDescent="0.3">
      <c r="B7" s="1" t="s">
        <v>16</v>
      </c>
      <c r="D7" s="4" t="s">
        <v>11</v>
      </c>
      <c r="E7" s="1" t="s">
        <v>9</v>
      </c>
      <c r="F7" s="4" t="s">
        <v>12</v>
      </c>
    </row>
    <row r="9" spans="1:10" x14ac:dyDescent="0.3">
      <c r="A9" s="2">
        <v>0</v>
      </c>
      <c r="B9" s="1">
        <v>-1</v>
      </c>
      <c r="D9" s="8">
        <f t="shared" ref="D9:F9" si="0">IF($B9&gt;D$5,0,IF($B9&gt;D$4,(D$5-$B9)/(D$5-D$4),IF($B9&gt;D$3,1,IF($B9&gt;D$2,($B9-D$2)/(D$3-D$2),0))))</f>
        <v>1</v>
      </c>
      <c r="E9" s="1">
        <f t="shared" si="0"/>
        <v>0</v>
      </c>
      <c r="F9" s="1">
        <f t="shared" si="0"/>
        <v>0</v>
      </c>
    </row>
    <row r="10" spans="1:10" x14ac:dyDescent="0.3">
      <c r="A10" s="2">
        <v>1</v>
      </c>
      <c r="B10" s="3">
        <f>B9+((B$306-B$9)/297)</f>
        <v>-0.9932659932659933</v>
      </c>
      <c r="D10" s="8">
        <f t="shared" ref="D10:F60" si="1">IF($B10&gt;D$5,0,IF($B10&gt;D$4,(D$5-$B10)/(D$5-D$4),IF($B10&gt;D$3,1,IF($B10&gt;D$2,($B10-D$2)/(D$3-D$2),0))))</f>
        <v>1</v>
      </c>
      <c r="E10" s="1">
        <f t="shared" si="1"/>
        <v>0</v>
      </c>
      <c r="F10" s="1">
        <f t="shared" si="1"/>
        <v>0</v>
      </c>
    </row>
    <row r="11" spans="1:10" x14ac:dyDescent="0.3">
      <c r="A11" s="2">
        <v>2</v>
      </c>
      <c r="B11" s="3">
        <f t="shared" ref="B11:B74" si="2">B10+((B$306-B$9)/297)</f>
        <v>-0.98653198653198659</v>
      </c>
      <c r="D11" s="8">
        <f t="shared" si="1"/>
        <v>1</v>
      </c>
      <c r="E11" s="1">
        <f t="shared" si="1"/>
        <v>0</v>
      </c>
      <c r="F11" s="1">
        <f t="shared" si="1"/>
        <v>0</v>
      </c>
    </row>
    <row r="12" spans="1:10" x14ac:dyDescent="0.3">
      <c r="A12" s="2">
        <v>3</v>
      </c>
      <c r="B12" s="3">
        <f t="shared" si="2"/>
        <v>-0.97979797979797989</v>
      </c>
      <c r="D12" s="8">
        <f t="shared" si="1"/>
        <v>1</v>
      </c>
      <c r="E12" s="1">
        <f t="shared" si="1"/>
        <v>0</v>
      </c>
      <c r="F12" s="1">
        <f t="shared" si="1"/>
        <v>0</v>
      </c>
    </row>
    <row r="13" spans="1:10" x14ac:dyDescent="0.3">
      <c r="A13" s="2">
        <v>4</v>
      </c>
      <c r="B13" s="3">
        <f t="shared" si="2"/>
        <v>-0.97306397306397319</v>
      </c>
      <c r="D13" s="8">
        <f t="shared" si="1"/>
        <v>1</v>
      </c>
      <c r="E13" s="1">
        <f t="shared" si="1"/>
        <v>0</v>
      </c>
      <c r="F13" s="1">
        <f t="shared" si="1"/>
        <v>0</v>
      </c>
    </row>
    <row r="14" spans="1:10" x14ac:dyDescent="0.3">
      <c r="A14" s="2">
        <v>5</v>
      </c>
      <c r="B14" s="3">
        <f t="shared" si="2"/>
        <v>-0.96632996632996648</v>
      </c>
      <c r="D14" s="8">
        <f t="shared" si="1"/>
        <v>1</v>
      </c>
      <c r="E14" s="1">
        <f t="shared" si="1"/>
        <v>0</v>
      </c>
      <c r="F14" s="1">
        <f t="shared" si="1"/>
        <v>0</v>
      </c>
    </row>
    <row r="15" spans="1:10" x14ac:dyDescent="0.3">
      <c r="A15" s="2">
        <v>6</v>
      </c>
      <c r="B15" s="3">
        <f t="shared" si="2"/>
        <v>-0.95959595959595978</v>
      </c>
      <c r="D15" s="8">
        <f t="shared" si="1"/>
        <v>1</v>
      </c>
      <c r="E15" s="1">
        <f t="shared" si="1"/>
        <v>0</v>
      </c>
      <c r="F15" s="1">
        <f t="shared" si="1"/>
        <v>0</v>
      </c>
    </row>
    <row r="16" spans="1:10" x14ac:dyDescent="0.3">
      <c r="A16" s="2">
        <v>7</v>
      </c>
      <c r="B16" s="3">
        <f t="shared" si="2"/>
        <v>-0.95286195286195308</v>
      </c>
      <c r="D16" s="8">
        <f t="shared" si="1"/>
        <v>1</v>
      </c>
      <c r="E16" s="1">
        <f t="shared" si="1"/>
        <v>0</v>
      </c>
      <c r="F16" s="1">
        <f t="shared" si="1"/>
        <v>0</v>
      </c>
    </row>
    <row r="17" spans="1:12" x14ac:dyDescent="0.3">
      <c r="A17" s="2">
        <v>8</v>
      </c>
      <c r="B17" s="3">
        <f t="shared" si="2"/>
        <v>-0.94612794612794637</v>
      </c>
      <c r="D17" s="8">
        <f t="shared" si="1"/>
        <v>1</v>
      </c>
      <c r="E17" s="1">
        <f t="shared" si="1"/>
        <v>0</v>
      </c>
      <c r="F17" s="1">
        <f t="shared" si="1"/>
        <v>0</v>
      </c>
    </row>
    <row r="18" spans="1:12" x14ac:dyDescent="0.3">
      <c r="A18" s="2">
        <v>9</v>
      </c>
      <c r="B18" s="3">
        <f t="shared" si="2"/>
        <v>-0.93939393939393967</v>
      </c>
      <c r="D18" s="8">
        <f t="shared" si="1"/>
        <v>1</v>
      </c>
      <c r="E18" s="1">
        <f t="shared" si="1"/>
        <v>0</v>
      </c>
      <c r="F18" s="1">
        <f t="shared" si="1"/>
        <v>0</v>
      </c>
    </row>
    <row r="19" spans="1:12" x14ac:dyDescent="0.3">
      <c r="A19" s="2">
        <v>10</v>
      </c>
      <c r="B19" s="3">
        <f t="shared" si="2"/>
        <v>-0.93265993265993297</v>
      </c>
      <c r="D19" s="8">
        <f t="shared" si="1"/>
        <v>1</v>
      </c>
      <c r="E19" s="1">
        <f t="shared" si="1"/>
        <v>0</v>
      </c>
      <c r="F19" s="1">
        <f t="shared" si="1"/>
        <v>0</v>
      </c>
    </row>
    <row r="20" spans="1:12" x14ac:dyDescent="0.3">
      <c r="A20" s="2">
        <v>11</v>
      </c>
      <c r="B20" s="3">
        <f t="shared" si="2"/>
        <v>-0.92592592592592626</v>
      </c>
      <c r="D20" s="8">
        <f t="shared" si="1"/>
        <v>1</v>
      </c>
      <c r="E20" s="1">
        <f t="shared" si="1"/>
        <v>0</v>
      </c>
      <c r="F20" s="1">
        <f t="shared" si="1"/>
        <v>0</v>
      </c>
    </row>
    <row r="21" spans="1:12" x14ac:dyDescent="0.3">
      <c r="A21" s="2">
        <v>12</v>
      </c>
      <c r="B21" s="3">
        <f t="shared" si="2"/>
        <v>-0.91919191919191956</v>
      </c>
      <c r="D21" s="8">
        <f t="shared" si="1"/>
        <v>1</v>
      </c>
      <c r="E21" s="1">
        <f t="shared" si="1"/>
        <v>0</v>
      </c>
      <c r="F21" s="1">
        <f t="shared" si="1"/>
        <v>0</v>
      </c>
    </row>
    <row r="22" spans="1:12" x14ac:dyDescent="0.3">
      <c r="A22" s="2">
        <v>13</v>
      </c>
      <c r="B22" s="3">
        <f t="shared" si="2"/>
        <v>-0.91245791245791286</v>
      </c>
      <c r="D22" s="8">
        <f t="shared" si="1"/>
        <v>1</v>
      </c>
      <c r="E22" s="1">
        <f t="shared" si="1"/>
        <v>0</v>
      </c>
      <c r="F22" s="1">
        <f t="shared" si="1"/>
        <v>0</v>
      </c>
    </row>
    <row r="23" spans="1:12" x14ac:dyDescent="0.3">
      <c r="A23" s="2">
        <v>14</v>
      </c>
      <c r="B23" s="3">
        <f t="shared" si="2"/>
        <v>-0.90572390572390615</v>
      </c>
      <c r="D23" s="8">
        <f t="shared" si="1"/>
        <v>1</v>
      </c>
      <c r="E23" s="1">
        <f t="shared" si="1"/>
        <v>0</v>
      </c>
      <c r="F23" s="1">
        <f t="shared" si="1"/>
        <v>0</v>
      </c>
    </row>
    <row r="24" spans="1:12" x14ac:dyDescent="0.3">
      <c r="A24" s="2">
        <v>15</v>
      </c>
      <c r="B24" s="3">
        <f t="shared" si="2"/>
        <v>-0.89898989898989945</v>
      </c>
      <c r="D24" s="8">
        <f t="shared" si="1"/>
        <v>1</v>
      </c>
      <c r="E24" s="1">
        <f t="shared" si="1"/>
        <v>0</v>
      </c>
      <c r="F24" s="1">
        <f t="shared" si="1"/>
        <v>0</v>
      </c>
    </row>
    <row r="25" spans="1:12" x14ac:dyDescent="0.3">
      <c r="A25" s="2">
        <v>16</v>
      </c>
      <c r="B25" s="3">
        <f t="shared" si="2"/>
        <v>-0.89225589225589275</v>
      </c>
      <c r="D25" s="8">
        <f t="shared" si="1"/>
        <v>1</v>
      </c>
      <c r="E25" s="1">
        <f t="shared" si="1"/>
        <v>0</v>
      </c>
      <c r="F25" s="1">
        <f t="shared" si="1"/>
        <v>0</v>
      </c>
    </row>
    <row r="26" spans="1:12" x14ac:dyDescent="0.3">
      <c r="A26" s="2">
        <v>17</v>
      </c>
      <c r="B26" s="3">
        <f t="shared" si="2"/>
        <v>-0.88552188552188604</v>
      </c>
      <c r="D26" s="8">
        <f t="shared" si="1"/>
        <v>1</v>
      </c>
      <c r="E26" s="1">
        <f t="shared" si="1"/>
        <v>0</v>
      </c>
      <c r="F26" s="1">
        <f t="shared" si="1"/>
        <v>0</v>
      </c>
      <c r="J26" s="1">
        <v>0.16</v>
      </c>
      <c r="K26" s="1">
        <v>1</v>
      </c>
      <c r="L26" s="6" t="s">
        <v>28</v>
      </c>
    </row>
    <row r="27" spans="1:12" x14ac:dyDescent="0.3">
      <c r="A27" s="2">
        <v>18</v>
      </c>
      <c r="B27" s="3">
        <f t="shared" si="2"/>
        <v>-0.87878787878787934</v>
      </c>
      <c r="D27" s="8">
        <f t="shared" si="1"/>
        <v>1</v>
      </c>
      <c r="E27" s="1">
        <f t="shared" si="1"/>
        <v>0</v>
      </c>
      <c r="F27" s="1">
        <f t="shared" si="1"/>
        <v>0</v>
      </c>
      <c r="J27" s="1">
        <v>-0.04</v>
      </c>
      <c r="K27" s="1">
        <v>0.04</v>
      </c>
      <c r="L27" s="6" t="s">
        <v>29</v>
      </c>
    </row>
    <row r="28" spans="1:12" x14ac:dyDescent="0.3">
      <c r="A28" s="2">
        <v>19</v>
      </c>
      <c r="B28" s="3">
        <f t="shared" si="2"/>
        <v>-0.87205387205387264</v>
      </c>
      <c r="D28" s="8">
        <f t="shared" si="1"/>
        <v>1</v>
      </c>
      <c r="E28" s="1">
        <f t="shared" si="1"/>
        <v>0</v>
      </c>
      <c r="F28" s="1">
        <f t="shared" si="1"/>
        <v>0</v>
      </c>
      <c r="J28" s="1">
        <v>-1</v>
      </c>
      <c r="K28" s="1">
        <v>-0.16</v>
      </c>
      <c r="L28" s="6" t="s">
        <v>27</v>
      </c>
    </row>
    <row r="29" spans="1:12" x14ac:dyDescent="0.3">
      <c r="A29" s="2">
        <v>20</v>
      </c>
      <c r="B29" s="3">
        <f t="shared" si="2"/>
        <v>-0.86531986531986593</v>
      </c>
      <c r="D29" s="8">
        <f t="shared" si="1"/>
        <v>1</v>
      </c>
      <c r="E29" s="1">
        <f t="shared" si="1"/>
        <v>0</v>
      </c>
      <c r="F29" s="1">
        <f t="shared" si="1"/>
        <v>0</v>
      </c>
    </row>
    <row r="30" spans="1:12" x14ac:dyDescent="0.3">
      <c r="A30" s="2">
        <v>21</v>
      </c>
      <c r="B30" s="3">
        <f t="shared" si="2"/>
        <v>-0.85858585858585923</v>
      </c>
      <c r="D30" s="8">
        <f t="shared" si="1"/>
        <v>1</v>
      </c>
      <c r="E30" s="1">
        <f t="shared" si="1"/>
        <v>0</v>
      </c>
      <c r="F30" s="1">
        <f t="shared" si="1"/>
        <v>0</v>
      </c>
    </row>
    <row r="31" spans="1:12" x14ac:dyDescent="0.3">
      <c r="A31" s="2">
        <v>22</v>
      </c>
      <c r="B31" s="3">
        <f t="shared" si="2"/>
        <v>-0.85185185185185253</v>
      </c>
      <c r="D31" s="8">
        <f t="shared" si="1"/>
        <v>1</v>
      </c>
      <c r="E31" s="1">
        <f t="shared" si="1"/>
        <v>0</v>
      </c>
      <c r="F31" s="1">
        <f t="shared" si="1"/>
        <v>0</v>
      </c>
    </row>
    <row r="32" spans="1:12" x14ac:dyDescent="0.3">
      <c r="A32" s="2">
        <v>23</v>
      </c>
      <c r="B32" s="3">
        <f t="shared" si="2"/>
        <v>-0.84511784511784582</v>
      </c>
      <c r="D32" s="8">
        <f t="shared" si="1"/>
        <v>1</v>
      </c>
      <c r="E32" s="1">
        <f t="shared" si="1"/>
        <v>0</v>
      </c>
      <c r="F32" s="1">
        <f t="shared" si="1"/>
        <v>0</v>
      </c>
    </row>
    <row r="33" spans="1:6" x14ac:dyDescent="0.3">
      <c r="A33" s="2">
        <v>24</v>
      </c>
      <c r="B33" s="3">
        <f t="shared" si="2"/>
        <v>-0.83838383838383912</v>
      </c>
      <c r="D33" s="8">
        <f t="shared" si="1"/>
        <v>1</v>
      </c>
      <c r="E33" s="1">
        <f t="shared" si="1"/>
        <v>0</v>
      </c>
      <c r="F33" s="1">
        <f t="shared" si="1"/>
        <v>0</v>
      </c>
    </row>
    <row r="34" spans="1:6" x14ac:dyDescent="0.3">
      <c r="A34" s="2">
        <v>25</v>
      </c>
      <c r="B34" s="3">
        <f t="shared" si="2"/>
        <v>-0.83164983164983242</v>
      </c>
      <c r="D34" s="8">
        <f t="shared" si="1"/>
        <v>1</v>
      </c>
      <c r="E34" s="1">
        <f t="shared" si="1"/>
        <v>0</v>
      </c>
      <c r="F34" s="1">
        <f t="shared" si="1"/>
        <v>0</v>
      </c>
    </row>
    <row r="35" spans="1:6" x14ac:dyDescent="0.3">
      <c r="A35" s="2">
        <v>26</v>
      </c>
      <c r="B35" s="3">
        <f t="shared" si="2"/>
        <v>-0.82491582491582571</v>
      </c>
      <c r="D35" s="8">
        <f t="shared" si="1"/>
        <v>1</v>
      </c>
      <c r="E35" s="1">
        <f t="shared" si="1"/>
        <v>0</v>
      </c>
      <c r="F35" s="1">
        <f t="shared" si="1"/>
        <v>0</v>
      </c>
    </row>
    <row r="36" spans="1:6" x14ac:dyDescent="0.3">
      <c r="A36" s="2">
        <v>27</v>
      </c>
      <c r="B36" s="3">
        <f t="shared" si="2"/>
        <v>-0.81818181818181901</v>
      </c>
      <c r="D36" s="8">
        <f t="shared" si="1"/>
        <v>1</v>
      </c>
      <c r="E36" s="1">
        <f t="shared" si="1"/>
        <v>0</v>
      </c>
      <c r="F36" s="1">
        <f t="shared" si="1"/>
        <v>0</v>
      </c>
    </row>
    <row r="37" spans="1:6" x14ac:dyDescent="0.3">
      <c r="A37" s="2">
        <v>28</v>
      </c>
      <c r="B37" s="3">
        <f t="shared" si="2"/>
        <v>-0.81144781144781231</v>
      </c>
      <c r="D37" s="8">
        <f t="shared" si="1"/>
        <v>1</v>
      </c>
      <c r="E37" s="1">
        <f t="shared" si="1"/>
        <v>0</v>
      </c>
      <c r="F37" s="1">
        <f t="shared" si="1"/>
        <v>0</v>
      </c>
    </row>
    <row r="38" spans="1:6" x14ac:dyDescent="0.3">
      <c r="A38" s="2">
        <v>29</v>
      </c>
      <c r="B38" s="3">
        <f t="shared" si="2"/>
        <v>-0.8047138047138056</v>
      </c>
      <c r="D38" s="8">
        <f t="shared" si="1"/>
        <v>1</v>
      </c>
      <c r="E38" s="1">
        <f t="shared" si="1"/>
        <v>0</v>
      </c>
      <c r="F38" s="1">
        <f t="shared" si="1"/>
        <v>0</v>
      </c>
    </row>
    <row r="39" spans="1:6" x14ac:dyDescent="0.3">
      <c r="A39" s="2">
        <v>30</v>
      </c>
      <c r="B39" s="3">
        <f t="shared" si="2"/>
        <v>-0.7979797979797989</v>
      </c>
      <c r="D39" s="8">
        <f t="shared" si="1"/>
        <v>1</v>
      </c>
      <c r="E39" s="1">
        <f t="shared" si="1"/>
        <v>0</v>
      </c>
      <c r="F39" s="1">
        <f t="shared" si="1"/>
        <v>0</v>
      </c>
    </row>
    <row r="40" spans="1:6" x14ac:dyDescent="0.3">
      <c r="A40" s="2">
        <v>31</v>
      </c>
      <c r="B40" s="3">
        <f t="shared" si="2"/>
        <v>-0.7912457912457922</v>
      </c>
      <c r="D40" s="8">
        <f t="shared" si="1"/>
        <v>1</v>
      </c>
      <c r="E40" s="1">
        <f t="shared" si="1"/>
        <v>0</v>
      </c>
      <c r="F40" s="1">
        <f t="shared" si="1"/>
        <v>0</v>
      </c>
    </row>
    <row r="41" spans="1:6" x14ac:dyDescent="0.3">
      <c r="A41" s="2">
        <v>32</v>
      </c>
      <c r="B41" s="3">
        <f t="shared" si="2"/>
        <v>-0.78451178451178549</v>
      </c>
      <c r="D41" s="8">
        <f t="shared" si="1"/>
        <v>1</v>
      </c>
      <c r="E41" s="1">
        <f t="shared" si="1"/>
        <v>0</v>
      </c>
      <c r="F41" s="1">
        <f t="shared" si="1"/>
        <v>0</v>
      </c>
    </row>
    <row r="42" spans="1:6" x14ac:dyDescent="0.3">
      <c r="A42" s="2">
        <v>33</v>
      </c>
      <c r="B42" s="3">
        <f t="shared" si="2"/>
        <v>-0.77777777777777879</v>
      </c>
      <c r="D42" s="8">
        <f t="shared" si="1"/>
        <v>1</v>
      </c>
      <c r="E42" s="1">
        <f t="shared" si="1"/>
        <v>0</v>
      </c>
      <c r="F42" s="1">
        <f t="shared" si="1"/>
        <v>0</v>
      </c>
    </row>
    <row r="43" spans="1:6" x14ac:dyDescent="0.3">
      <c r="A43" s="2">
        <v>34</v>
      </c>
      <c r="B43" s="3">
        <f t="shared" si="2"/>
        <v>-0.77104377104377209</v>
      </c>
      <c r="D43" s="8">
        <f t="shared" si="1"/>
        <v>1</v>
      </c>
      <c r="E43" s="1">
        <f t="shared" si="1"/>
        <v>0</v>
      </c>
      <c r="F43" s="1">
        <f t="shared" si="1"/>
        <v>0</v>
      </c>
    </row>
    <row r="44" spans="1:6" x14ac:dyDescent="0.3">
      <c r="A44" s="2">
        <v>35</v>
      </c>
      <c r="B44" s="3">
        <f t="shared" si="2"/>
        <v>-0.76430976430976538</v>
      </c>
      <c r="D44" s="8">
        <f t="shared" si="1"/>
        <v>1</v>
      </c>
      <c r="E44" s="1">
        <f t="shared" si="1"/>
        <v>0</v>
      </c>
      <c r="F44" s="1">
        <f t="shared" si="1"/>
        <v>0</v>
      </c>
    </row>
    <row r="45" spans="1:6" x14ac:dyDescent="0.3">
      <c r="A45" s="2">
        <v>36</v>
      </c>
      <c r="B45" s="3">
        <f t="shared" si="2"/>
        <v>-0.75757575757575868</v>
      </c>
      <c r="D45" s="8">
        <f t="shared" si="1"/>
        <v>1</v>
      </c>
      <c r="E45" s="1">
        <f t="shared" si="1"/>
        <v>0</v>
      </c>
      <c r="F45" s="1">
        <f t="shared" si="1"/>
        <v>0</v>
      </c>
    </row>
    <row r="46" spans="1:6" x14ac:dyDescent="0.3">
      <c r="A46" s="2">
        <v>37</v>
      </c>
      <c r="B46" s="3">
        <f t="shared" si="2"/>
        <v>-0.75084175084175198</v>
      </c>
      <c r="D46" s="8">
        <f t="shared" si="1"/>
        <v>1</v>
      </c>
      <c r="E46" s="1">
        <f t="shared" si="1"/>
        <v>0</v>
      </c>
      <c r="F46" s="1">
        <f t="shared" si="1"/>
        <v>0</v>
      </c>
    </row>
    <row r="47" spans="1:6" x14ac:dyDescent="0.3">
      <c r="A47" s="2">
        <v>38</v>
      </c>
      <c r="B47" s="3">
        <f t="shared" si="2"/>
        <v>-0.74410774410774527</v>
      </c>
      <c r="D47" s="8">
        <f t="shared" si="1"/>
        <v>1</v>
      </c>
      <c r="E47" s="1">
        <f t="shared" si="1"/>
        <v>0</v>
      </c>
      <c r="F47" s="1">
        <f t="shared" si="1"/>
        <v>0</v>
      </c>
    </row>
    <row r="48" spans="1:6" x14ac:dyDescent="0.3">
      <c r="A48" s="2">
        <v>39</v>
      </c>
      <c r="B48" s="3">
        <f t="shared" si="2"/>
        <v>-0.73737373737373857</v>
      </c>
      <c r="D48" s="8">
        <f t="shared" si="1"/>
        <v>1</v>
      </c>
      <c r="E48" s="1">
        <f t="shared" si="1"/>
        <v>0</v>
      </c>
      <c r="F48" s="1">
        <f t="shared" si="1"/>
        <v>0</v>
      </c>
    </row>
    <row r="49" spans="1:6" x14ac:dyDescent="0.3">
      <c r="A49" s="2">
        <v>40</v>
      </c>
      <c r="B49" s="3">
        <f t="shared" si="2"/>
        <v>-0.73063973063973187</v>
      </c>
      <c r="D49" s="8">
        <f t="shared" si="1"/>
        <v>1</v>
      </c>
      <c r="E49" s="1">
        <f t="shared" si="1"/>
        <v>0</v>
      </c>
      <c r="F49" s="1">
        <f t="shared" si="1"/>
        <v>0</v>
      </c>
    </row>
    <row r="50" spans="1:6" x14ac:dyDescent="0.3">
      <c r="A50" s="2">
        <v>41</v>
      </c>
      <c r="B50" s="3">
        <f t="shared" si="2"/>
        <v>-0.72390572390572516</v>
      </c>
      <c r="D50" s="8">
        <f t="shared" si="1"/>
        <v>1</v>
      </c>
      <c r="E50" s="1">
        <f t="shared" si="1"/>
        <v>0</v>
      </c>
      <c r="F50" s="1">
        <f t="shared" si="1"/>
        <v>0</v>
      </c>
    </row>
    <row r="51" spans="1:6" x14ac:dyDescent="0.3">
      <c r="A51" s="2">
        <v>42</v>
      </c>
      <c r="B51" s="3">
        <f t="shared" si="2"/>
        <v>-0.71717171717171846</v>
      </c>
      <c r="D51" s="8">
        <f t="shared" si="1"/>
        <v>1</v>
      </c>
      <c r="E51" s="1">
        <f t="shared" si="1"/>
        <v>0</v>
      </c>
      <c r="F51" s="1">
        <f t="shared" si="1"/>
        <v>0</v>
      </c>
    </row>
    <row r="52" spans="1:6" x14ac:dyDescent="0.3">
      <c r="A52" s="2">
        <v>43</v>
      </c>
      <c r="B52" s="3">
        <f t="shared" si="2"/>
        <v>-0.71043771043771176</v>
      </c>
      <c r="D52" s="8">
        <f t="shared" si="1"/>
        <v>1</v>
      </c>
      <c r="E52" s="1">
        <f t="shared" si="1"/>
        <v>0</v>
      </c>
      <c r="F52" s="1">
        <f t="shared" si="1"/>
        <v>0</v>
      </c>
    </row>
    <row r="53" spans="1:6" x14ac:dyDescent="0.3">
      <c r="A53" s="2">
        <v>44</v>
      </c>
      <c r="B53" s="3">
        <f t="shared" si="2"/>
        <v>-0.70370370370370505</v>
      </c>
      <c r="D53" s="8">
        <f t="shared" si="1"/>
        <v>1</v>
      </c>
      <c r="E53" s="1">
        <f t="shared" si="1"/>
        <v>0</v>
      </c>
      <c r="F53" s="1">
        <f t="shared" si="1"/>
        <v>0</v>
      </c>
    </row>
    <row r="54" spans="1:6" x14ac:dyDescent="0.3">
      <c r="A54" s="2">
        <v>45</v>
      </c>
      <c r="B54" s="3">
        <f t="shared" si="2"/>
        <v>-0.69696969696969835</v>
      </c>
      <c r="D54" s="8">
        <f t="shared" si="1"/>
        <v>1</v>
      </c>
      <c r="E54" s="1">
        <f t="shared" si="1"/>
        <v>0</v>
      </c>
      <c r="F54" s="1">
        <f t="shared" si="1"/>
        <v>0</v>
      </c>
    </row>
    <row r="55" spans="1:6" x14ac:dyDescent="0.3">
      <c r="A55" s="2">
        <v>46</v>
      </c>
      <c r="B55" s="3">
        <f t="shared" si="2"/>
        <v>-0.69023569023569165</v>
      </c>
      <c r="D55" s="8">
        <f t="shared" si="1"/>
        <v>1</v>
      </c>
      <c r="E55" s="1">
        <f t="shared" si="1"/>
        <v>0</v>
      </c>
      <c r="F55" s="1">
        <f t="shared" si="1"/>
        <v>0</v>
      </c>
    </row>
    <row r="56" spans="1:6" x14ac:dyDescent="0.3">
      <c r="A56" s="2">
        <v>47</v>
      </c>
      <c r="B56" s="3">
        <f t="shared" si="2"/>
        <v>-0.68350168350168494</v>
      </c>
      <c r="D56" s="8">
        <f t="shared" si="1"/>
        <v>1</v>
      </c>
      <c r="E56" s="1">
        <f t="shared" si="1"/>
        <v>0</v>
      </c>
      <c r="F56" s="1">
        <f t="shared" si="1"/>
        <v>0</v>
      </c>
    </row>
    <row r="57" spans="1:6" x14ac:dyDescent="0.3">
      <c r="A57" s="2">
        <v>48</v>
      </c>
      <c r="B57" s="3">
        <f t="shared" si="2"/>
        <v>-0.67676767676767824</v>
      </c>
      <c r="D57" s="8">
        <f t="shared" si="1"/>
        <v>1</v>
      </c>
      <c r="E57" s="1">
        <f t="shared" si="1"/>
        <v>0</v>
      </c>
      <c r="F57" s="1">
        <f t="shared" si="1"/>
        <v>0</v>
      </c>
    </row>
    <row r="58" spans="1:6" x14ac:dyDescent="0.3">
      <c r="A58" s="2">
        <v>49</v>
      </c>
      <c r="B58" s="3">
        <f t="shared" si="2"/>
        <v>-0.67003367003367154</v>
      </c>
      <c r="D58" s="8">
        <f t="shared" si="1"/>
        <v>1</v>
      </c>
      <c r="E58" s="1">
        <f t="shared" si="1"/>
        <v>0</v>
      </c>
      <c r="F58" s="1">
        <f t="shared" si="1"/>
        <v>0</v>
      </c>
    </row>
    <row r="59" spans="1:6" x14ac:dyDescent="0.3">
      <c r="A59" s="2">
        <v>50</v>
      </c>
      <c r="B59" s="3">
        <f t="shared" si="2"/>
        <v>-0.66329966329966483</v>
      </c>
      <c r="D59" s="8">
        <f t="shared" si="1"/>
        <v>1</v>
      </c>
      <c r="E59" s="1">
        <f t="shared" si="1"/>
        <v>0</v>
      </c>
      <c r="F59" s="1">
        <f t="shared" si="1"/>
        <v>0</v>
      </c>
    </row>
    <row r="60" spans="1:6" x14ac:dyDescent="0.3">
      <c r="A60" s="2">
        <v>51</v>
      </c>
      <c r="B60" s="3">
        <f t="shared" si="2"/>
        <v>-0.65656565656565813</v>
      </c>
      <c r="D60" s="8">
        <f t="shared" si="1"/>
        <v>1</v>
      </c>
      <c r="E60" s="1">
        <f t="shared" si="1"/>
        <v>0</v>
      </c>
      <c r="F60" s="1">
        <f t="shared" si="1"/>
        <v>0</v>
      </c>
    </row>
    <row r="61" spans="1:6" x14ac:dyDescent="0.3">
      <c r="A61" s="2">
        <v>52</v>
      </c>
      <c r="B61" s="3">
        <f t="shared" si="2"/>
        <v>-0.64983164983165143</v>
      </c>
      <c r="D61" s="8">
        <f t="shared" ref="D61:F111" si="3">IF($B61&gt;D$5,0,IF($B61&gt;D$4,(D$5-$B61)/(D$5-D$4),IF($B61&gt;D$3,1,IF($B61&gt;D$2,($B61-D$2)/(D$3-D$2),0))))</f>
        <v>1</v>
      </c>
      <c r="E61" s="1">
        <f t="shared" si="3"/>
        <v>0</v>
      </c>
      <c r="F61" s="1">
        <f t="shared" si="3"/>
        <v>0</v>
      </c>
    </row>
    <row r="62" spans="1:6" x14ac:dyDescent="0.3">
      <c r="A62" s="2">
        <v>53</v>
      </c>
      <c r="B62" s="3">
        <f t="shared" si="2"/>
        <v>-0.64309764309764472</v>
      </c>
      <c r="D62" s="8">
        <f t="shared" si="3"/>
        <v>1</v>
      </c>
      <c r="E62" s="1">
        <f t="shared" si="3"/>
        <v>0</v>
      </c>
      <c r="F62" s="1">
        <f t="shared" si="3"/>
        <v>0</v>
      </c>
    </row>
    <row r="63" spans="1:6" x14ac:dyDescent="0.3">
      <c r="A63" s="2">
        <v>54</v>
      </c>
      <c r="B63" s="3">
        <f t="shared" si="2"/>
        <v>-0.63636363636363802</v>
      </c>
      <c r="D63" s="8">
        <f t="shared" si="3"/>
        <v>1</v>
      </c>
      <c r="E63" s="1">
        <f t="shared" si="3"/>
        <v>0</v>
      </c>
      <c r="F63" s="1">
        <f t="shared" si="3"/>
        <v>0</v>
      </c>
    </row>
    <row r="64" spans="1:6" x14ac:dyDescent="0.3">
      <c r="A64" s="2">
        <v>55</v>
      </c>
      <c r="B64" s="3">
        <f t="shared" si="2"/>
        <v>-0.62962962962963132</v>
      </c>
      <c r="D64" s="8">
        <f t="shared" si="3"/>
        <v>1</v>
      </c>
      <c r="E64" s="1">
        <f t="shared" si="3"/>
        <v>0</v>
      </c>
      <c r="F64" s="1">
        <f t="shared" si="3"/>
        <v>0</v>
      </c>
    </row>
    <row r="65" spans="1:6" x14ac:dyDescent="0.3">
      <c r="A65" s="2">
        <v>56</v>
      </c>
      <c r="B65" s="3">
        <f t="shared" si="2"/>
        <v>-0.62289562289562461</v>
      </c>
      <c r="D65" s="8">
        <f t="shared" si="3"/>
        <v>1</v>
      </c>
      <c r="E65" s="1">
        <f t="shared" si="3"/>
        <v>0</v>
      </c>
      <c r="F65" s="1">
        <f t="shared" si="3"/>
        <v>0</v>
      </c>
    </row>
    <row r="66" spans="1:6" x14ac:dyDescent="0.3">
      <c r="A66" s="2">
        <v>57</v>
      </c>
      <c r="B66" s="3">
        <f t="shared" si="2"/>
        <v>-0.61616161616161791</v>
      </c>
      <c r="D66" s="8">
        <f t="shared" si="3"/>
        <v>1</v>
      </c>
      <c r="E66" s="1">
        <f t="shared" si="3"/>
        <v>0</v>
      </c>
      <c r="F66" s="1">
        <f t="shared" si="3"/>
        <v>0</v>
      </c>
    </row>
    <row r="67" spans="1:6" x14ac:dyDescent="0.3">
      <c r="A67" s="2">
        <v>58</v>
      </c>
      <c r="B67" s="3">
        <f t="shared" si="2"/>
        <v>-0.60942760942761121</v>
      </c>
      <c r="D67" s="8">
        <f t="shared" si="3"/>
        <v>1</v>
      </c>
      <c r="E67" s="1">
        <f t="shared" si="3"/>
        <v>0</v>
      </c>
      <c r="F67" s="1">
        <f t="shared" si="3"/>
        <v>0</v>
      </c>
    </row>
    <row r="68" spans="1:6" x14ac:dyDescent="0.3">
      <c r="A68" s="2">
        <v>59</v>
      </c>
      <c r="B68" s="3">
        <f t="shared" si="2"/>
        <v>-0.6026936026936045</v>
      </c>
      <c r="D68" s="8">
        <f t="shared" si="3"/>
        <v>1</v>
      </c>
      <c r="E68" s="1">
        <f t="shared" si="3"/>
        <v>0</v>
      </c>
      <c r="F68" s="1">
        <f t="shared" si="3"/>
        <v>0</v>
      </c>
    </row>
    <row r="69" spans="1:6" x14ac:dyDescent="0.3">
      <c r="A69" s="2">
        <v>60</v>
      </c>
      <c r="B69" s="3">
        <f t="shared" si="2"/>
        <v>-0.5959595959595978</v>
      </c>
      <c r="D69" s="8">
        <f t="shared" si="3"/>
        <v>1</v>
      </c>
      <c r="E69" s="1">
        <f t="shared" si="3"/>
        <v>0</v>
      </c>
      <c r="F69" s="1">
        <f t="shared" si="3"/>
        <v>0</v>
      </c>
    </row>
    <row r="70" spans="1:6" x14ac:dyDescent="0.3">
      <c r="A70" s="2">
        <v>61</v>
      </c>
      <c r="B70" s="3">
        <f t="shared" si="2"/>
        <v>-0.5892255892255911</v>
      </c>
      <c r="D70" s="8">
        <f t="shared" si="3"/>
        <v>1</v>
      </c>
      <c r="E70" s="1">
        <f t="shared" si="3"/>
        <v>0</v>
      </c>
      <c r="F70" s="1">
        <f t="shared" si="3"/>
        <v>0</v>
      </c>
    </row>
    <row r="71" spans="1:6" x14ac:dyDescent="0.3">
      <c r="A71" s="2">
        <v>62</v>
      </c>
      <c r="B71" s="3">
        <f t="shared" si="2"/>
        <v>-0.58249158249158439</v>
      </c>
      <c r="D71" s="8">
        <f t="shared" si="3"/>
        <v>1</v>
      </c>
      <c r="E71" s="1">
        <f t="shared" si="3"/>
        <v>0</v>
      </c>
      <c r="F71" s="1">
        <f t="shared" si="3"/>
        <v>0</v>
      </c>
    </row>
    <row r="72" spans="1:6" x14ac:dyDescent="0.3">
      <c r="A72" s="2">
        <v>63</v>
      </c>
      <c r="B72" s="3">
        <f t="shared" si="2"/>
        <v>-0.57575757575757769</v>
      </c>
      <c r="D72" s="8">
        <f t="shared" si="3"/>
        <v>1</v>
      </c>
      <c r="E72" s="1">
        <f t="shared" si="3"/>
        <v>0</v>
      </c>
      <c r="F72" s="1">
        <f t="shared" si="3"/>
        <v>0</v>
      </c>
    </row>
    <row r="73" spans="1:6" x14ac:dyDescent="0.3">
      <c r="A73" s="2">
        <v>64</v>
      </c>
      <c r="B73" s="3">
        <f t="shared" si="2"/>
        <v>-0.56902356902357099</v>
      </c>
      <c r="D73" s="8">
        <f t="shared" si="3"/>
        <v>1</v>
      </c>
      <c r="E73" s="1">
        <f t="shared" si="3"/>
        <v>0</v>
      </c>
      <c r="F73" s="1">
        <f t="shared" si="3"/>
        <v>0</v>
      </c>
    </row>
    <row r="74" spans="1:6" x14ac:dyDescent="0.3">
      <c r="A74" s="2">
        <v>65</v>
      </c>
      <c r="B74" s="3">
        <f t="shared" si="2"/>
        <v>-0.56228956228956428</v>
      </c>
      <c r="D74" s="8">
        <f t="shared" si="3"/>
        <v>1</v>
      </c>
      <c r="E74" s="1">
        <f t="shared" si="3"/>
        <v>0</v>
      </c>
      <c r="F74" s="1">
        <f t="shared" si="3"/>
        <v>0</v>
      </c>
    </row>
    <row r="75" spans="1:6" x14ac:dyDescent="0.3">
      <c r="A75" s="2">
        <v>66</v>
      </c>
      <c r="B75" s="3">
        <f t="shared" ref="B75:B138" si="4">B74+((B$306-B$9)/297)</f>
        <v>-0.55555555555555758</v>
      </c>
      <c r="D75" s="8">
        <f t="shared" si="3"/>
        <v>1</v>
      </c>
      <c r="E75" s="1">
        <f t="shared" si="3"/>
        <v>0</v>
      </c>
      <c r="F75" s="1">
        <f t="shared" si="3"/>
        <v>0</v>
      </c>
    </row>
    <row r="76" spans="1:6" x14ac:dyDescent="0.3">
      <c r="A76" s="2">
        <v>67</v>
      </c>
      <c r="B76" s="3">
        <f t="shared" si="4"/>
        <v>-0.54882154882155088</v>
      </c>
      <c r="D76" s="8">
        <f t="shared" si="3"/>
        <v>1</v>
      </c>
      <c r="E76" s="1">
        <f t="shared" si="3"/>
        <v>0</v>
      </c>
      <c r="F76" s="1">
        <f t="shared" si="3"/>
        <v>0</v>
      </c>
    </row>
    <row r="77" spans="1:6" x14ac:dyDescent="0.3">
      <c r="A77" s="2">
        <v>68</v>
      </c>
      <c r="B77" s="3">
        <f t="shared" si="4"/>
        <v>-0.54208754208754417</v>
      </c>
      <c r="D77" s="8">
        <f t="shared" si="3"/>
        <v>1</v>
      </c>
      <c r="E77" s="1">
        <f t="shared" si="3"/>
        <v>0</v>
      </c>
      <c r="F77" s="1">
        <f t="shared" si="3"/>
        <v>0</v>
      </c>
    </row>
    <row r="78" spans="1:6" x14ac:dyDescent="0.3">
      <c r="A78" s="2">
        <v>69</v>
      </c>
      <c r="B78" s="3">
        <f t="shared" si="4"/>
        <v>-0.53535353535353747</v>
      </c>
      <c r="D78" s="8">
        <f t="shared" si="3"/>
        <v>1</v>
      </c>
      <c r="E78" s="1">
        <f t="shared" si="3"/>
        <v>0</v>
      </c>
      <c r="F78" s="1">
        <f t="shared" si="3"/>
        <v>0</v>
      </c>
    </row>
    <row r="79" spans="1:6" x14ac:dyDescent="0.3">
      <c r="A79" s="2">
        <v>70</v>
      </c>
      <c r="B79" s="3">
        <f t="shared" si="4"/>
        <v>-0.52861952861953077</v>
      </c>
      <c r="D79" s="8">
        <f t="shared" si="3"/>
        <v>1</v>
      </c>
      <c r="E79" s="1">
        <f t="shared" si="3"/>
        <v>0</v>
      </c>
      <c r="F79" s="1">
        <f t="shared" si="3"/>
        <v>0</v>
      </c>
    </row>
    <row r="80" spans="1:6" x14ac:dyDescent="0.3">
      <c r="A80" s="2">
        <v>71</v>
      </c>
      <c r="B80" s="3">
        <f t="shared" si="4"/>
        <v>-0.52188552188552406</v>
      </c>
      <c r="D80" s="8">
        <f t="shared" si="3"/>
        <v>1</v>
      </c>
      <c r="E80" s="1">
        <f t="shared" si="3"/>
        <v>0</v>
      </c>
      <c r="F80" s="1">
        <f t="shared" si="3"/>
        <v>0</v>
      </c>
    </row>
    <row r="81" spans="1:6" x14ac:dyDescent="0.3">
      <c r="A81" s="2">
        <v>72</v>
      </c>
      <c r="B81" s="3">
        <f t="shared" si="4"/>
        <v>-0.51515151515151736</v>
      </c>
      <c r="D81" s="8">
        <f t="shared" si="3"/>
        <v>1</v>
      </c>
      <c r="E81" s="1">
        <f t="shared" si="3"/>
        <v>0</v>
      </c>
      <c r="F81" s="1">
        <f t="shared" si="3"/>
        <v>0</v>
      </c>
    </row>
    <row r="82" spans="1:6" x14ac:dyDescent="0.3">
      <c r="A82" s="2">
        <v>73</v>
      </c>
      <c r="B82" s="3">
        <f t="shared" si="4"/>
        <v>-0.50841750841751066</v>
      </c>
      <c r="D82" s="8">
        <f t="shared" si="3"/>
        <v>1</v>
      </c>
      <c r="E82" s="1">
        <f t="shared" si="3"/>
        <v>0</v>
      </c>
      <c r="F82" s="1">
        <f t="shared" si="3"/>
        <v>0</v>
      </c>
    </row>
    <row r="83" spans="1:6" x14ac:dyDescent="0.3">
      <c r="A83" s="2">
        <v>74</v>
      </c>
      <c r="B83" s="3">
        <f t="shared" si="4"/>
        <v>-0.50168350168350395</v>
      </c>
      <c r="D83" s="8">
        <f t="shared" si="3"/>
        <v>1</v>
      </c>
      <c r="E83" s="1">
        <f t="shared" si="3"/>
        <v>0</v>
      </c>
      <c r="F83" s="1">
        <f t="shared" si="3"/>
        <v>0</v>
      </c>
    </row>
    <row r="84" spans="1:6" x14ac:dyDescent="0.3">
      <c r="A84" s="2">
        <v>75</v>
      </c>
      <c r="B84" s="3">
        <f t="shared" si="4"/>
        <v>-0.49494949494949719</v>
      </c>
      <c r="D84" s="8">
        <f t="shared" si="3"/>
        <v>1</v>
      </c>
      <c r="E84" s="1">
        <f t="shared" si="3"/>
        <v>0</v>
      </c>
      <c r="F84" s="1">
        <f t="shared" si="3"/>
        <v>0</v>
      </c>
    </row>
    <row r="85" spans="1:6" x14ac:dyDescent="0.3">
      <c r="A85" s="2">
        <v>76</v>
      </c>
      <c r="B85" s="3">
        <f t="shared" si="4"/>
        <v>-0.48821548821549043</v>
      </c>
      <c r="D85" s="8">
        <f t="shared" si="3"/>
        <v>1</v>
      </c>
      <c r="E85" s="1">
        <f t="shared" si="3"/>
        <v>0</v>
      </c>
      <c r="F85" s="1">
        <f t="shared" si="3"/>
        <v>0</v>
      </c>
    </row>
    <row r="86" spans="1:6" x14ac:dyDescent="0.3">
      <c r="A86" s="2">
        <v>77</v>
      </c>
      <c r="B86" s="3">
        <f t="shared" si="4"/>
        <v>-0.48148148148148368</v>
      </c>
      <c r="D86" s="8">
        <f t="shared" si="3"/>
        <v>1</v>
      </c>
      <c r="E86" s="1">
        <f t="shared" si="3"/>
        <v>0</v>
      </c>
      <c r="F86" s="1">
        <f t="shared" si="3"/>
        <v>0</v>
      </c>
    </row>
    <row r="87" spans="1:6" x14ac:dyDescent="0.3">
      <c r="A87" s="2">
        <v>78</v>
      </c>
      <c r="B87" s="3">
        <f t="shared" si="4"/>
        <v>-0.47474747474747692</v>
      </c>
      <c r="D87" s="8">
        <f t="shared" si="3"/>
        <v>1</v>
      </c>
      <c r="E87" s="1">
        <f t="shared" si="3"/>
        <v>0</v>
      </c>
      <c r="F87" s="1">
        <f t="shared" si="3"/>
        <v>0</v>
      </c>
    </row>
    <row r="88" spans="1:6" x14ac:dyDescent="0.3">
      <c r="A88" s="2">
        <v>79</v>
      </c>
      <c r="B88" s="3">
        <f t="shared" si="4"/>
        <v>-0.46801346801347016</v>
      </c>
      <c r="D88" s="8">
        <f t="shared" si="3"/>
        <v>1</v>
      </c>
      <c r="E88" s="1">
        <f t="shared" si="3"/>
        <v>0</v>
      </c>
      <c r="F88" s="1">
        <f t="shared" si="3"/>
        <v>0</v>
      </c>
    </row>
    <row r="89" spans="1:6" x14ac:dyDescent="0.3">
      <c r="A89" s="2">
        <v>80</v>
      </c>
      <c r="B89" s="3">
        <f t="shared" si="4"/>
        <v>-0.4612794612794634</v>
      </c>
      <c r="D89" s="8">
        <f t="shared" si="3"/>
        <v>1</v>
      </c>
      <c r="E89" s="1">
        <f t="shared" si="3"/>
        <v>0</v>
      </c>
      <c r="F89" s="1">
        <f t="shared" si="3"/>
        <v>0</v>
      </c>
    </row>
    <row r="90" spans="1:6" x14ac:dyDescent="0.3">
      <c r="A90" s="2">
        <v>81</v>
      </c>
      <c r="B90" s="3">
        <f t="shared" si="4"/>
        <v>-0.45454545454545664</v>
      </c>
      <c r="D90" s="8">
        <f t="shared" si="3"/>
        <v>1</v>
      </c>
      <c r="E90" s="1">
        <f t="shared" si="3"/>
        <v>0</v>
      </c>
      <c r="F90" s="1">
        <f t="shared" si="3"/>
        <v>0</v>
      </c>
    </row>
    <row r="91" spans="1:6" x14ac:dyDescent="0.3">
      <c r="A91" s="2">
        <v>82</v>
      </c>
      <c r="B91" s="3">
        <f t="shared" si="4"/>
        <v>-0.44781144781144988</v>
      </c>
      <c r="D91" s="8">
        <f t="shared" si="3"/>
        <v>1</v>
      </c>
      <c r="E91" s="1">
        <f t="shared" si="3"/>
        <v>0</v>
      </c>
      <c r="F91" s="1">
        <f t="shared" si="3"/>
        <v>0</v>
      </c>
    </row>
    <row r="92" spans="1:6" x14ac:dyDescent="0.3">
      <c r="A92" s="2">
        <v>83</v>
      </c>
      <c r="B92" s="3">
        <f t="shared" si="4"/>
        <v>-0.44107744107744312</v>
      </c>
      <c r="D92" s="8">
        <f t="shared" si="3"/>
        <v>1</v>
      </c>
      <c r="E92" s="1">
        <f t="shared" si="3"/>
        <v>0</v>
      </c>
      <c r="F92" s="1">
        <f t="shared" si="3"/>
        <v>0</v>
      </c>
    </row>
    <row r="93" spans="1:6" x14ac:dyDescent="0.3">
      <c r="A93" s="2">
        <v>84</v>
      </c>
      <c r="B93" s="3">
        <f t="shared" si="4"/>
        <v>-0.43434343434343636</v>
      </c>
      <c r="D93" s="8">
        <f t="shared" si="3"/>
        <v>1</v>
      </c>
      <c r="E93" s="1">
        <f t="shared" si="3"/>
        <v>0</v>
      </c>
      <c r="F93" s="1">
        <f t="shared" si="3"/>
        <v>0</v>
      </c>
    </row>
    <row r="94" spans="1:6" x14ac:dyDescent="0.3">
      <c r="A94" s="2">
        <v>85</v>
      </c>
      <c r="B94" s="3">
        <f t="shared" si="4"/>
        <v>-0.4276094276094296</v>
      </c>
      <c r="D94" s="8">
        <f t="shared" si="3"/>
        <v>1</v>
      </c>
      <c r="E94" s="1">
        <f t="shared" si="3"/>
        <v>0</v>
      </c>
      <c r="F94" s="1">
        <f t="shared" si="3"/>
        <v>0</v>
      </c>
    </row>
    <row r="95" spans="1:6" x14ac:dyDescent="0.3">
      <c r="A95" s="2">
        <v>86</v>
      </c>
      <c r="B95" s="3">
        <f t="shared" si="4"/>
        <v>-0.42087542087542285</v>
      </c>
      <c r="D95" s="8">
        <f t="shared" si="3"/>
        <v>1</v>
      </c>
      <c r="E95" s="1">
        <f t="shared" si="3"/>
        <v>0</v>
      </c>
      <c r="F95" s="1">
        <f t="shared" si="3"/>
        <v>0</v>
      </c>
    </row>
    <row r="96" spans="1:6" x14ac:dyDescent="0.3">
      <c r="A96" s="2">
        <v>87</v>
      </c>
      <c r="B96" s="3">
        <f t="shared" si="4"/>
        <v>-0.41414141414141609</v>
      </c>
      <c r="D96" s="8">
        <f t="shared" si="3"/>
        <v>1</v>
      </c>
      <c r="E96" s="1">
        <f t="shared" si="3"/>
        <v>0</v>
      </c>
      <c r="F96" s="1">
        <f t="shared" si="3"/>
        <v>0</v>
      </c>
    </row>
    <row r="97" spans="1:6" x14ac:dyDescent="0.3">
      <c r="A97" s="2">
        <v>88</v>
      </c>
      <c r="B97" s="3">
        <f t="shared" si="4"/>
        <v>-0.40740740740740933</v>
      </c>
      <c r="D97" s="8">
        <f t="shared" si="3"/>
        <v>1</v>
      </c>
      <c r="E97" s="1">
        <f t="shared" si="3"/>
        <v>0</v>
      </c>
      <c r="F97" s="1">
        <f t="shared" si="3"/>
        <v>0</v>
      </c>
    </row>
    <row r="98" spans="1:6" x14ac:dyDescent="0.3">
      <c r="A98" s="2">
        <v>89</v>
      </c>
      <c r="B98" s="3">
        <f t="shared" si="4"/>
        <v>-0.40067340067340257</v>
      </c>
      <c r="D98" s="8">
        <f t="shared" si="3"/>
        <v>1</v>
      </c>
      <c r="E98" s="1">
        <f t="shared" si="3"/>
        <v>0</v>
      </c>
      <c r="F98" s="1">
        <f t="shared" si="3"/>
        <v>0</v>
      </c>
    </row>
    <row r="99" spans="1:6" x14ac:dyDescent="0.3">
      <c r="A99" s="2">
        <v>90</v>
      </c>
      <c r="B99" s="3">
        <f t="shared" si="4"/>
        <v>-0.39393939393939581</v>
      </c>
      <c r="D99" s="8">
        <f t="shared" si="3"/>
        <v>1</v>
      </c>
      <c r="E99" s="1">
        <f t="shared" si="3"/>
        <v>0</v>
      </c>
      <c r="F99" s="1">
        <f t="shared" si="3"/>
        <v>0</v>
      </c>
    </row>
    <row r="100" spans="1:6" x14ac:dyDescent="0.3">
      <c r="A100" s="2">
        <v>91</v>
      </c>
      <c r="B100" s="3">
        <f t="shared" si="4"/>
        <v>-0.38720538720538905</v>
      </c>
      <c r="D100" s="8">
        <f t="shared" si="3"/>
        <v>1</v>
      </c>
      <c r="E100" s="1">
        <f t="shared" si="3"/>
        <v>0</v>
      </c>
      <c r="F100" s="1">
        <f t="shared" si="3"/>
        <v>0</v>
      </c>
    </row>
    <row r="101" spans="1:6" x14ac:dyDescent="0.3">
      <c r="A101" s="2">
        <v>92</v>
      </c>
      <c r="B101" s="3">
        <f t="shared" si="4"/>
        <v>-0.38047138047138229</v>
      </c>
      <c r="D101" s="8">
        <f t="shared" si="3"/>
        <v>1</v>
      </c>
      <c r="E101" s="1">
        <f t="shared" si="3"/>
        <v>0</v>
      </c>
      <c r="F101" s="1">
        <f t="shared" si="3"/>
        <v>0</v>
      </c>
    </row>
    <row r="102" spans="1:6" x14ac:dyDescent="0.3">
      <c r="A102" s="2">
        <v>93</v>
      </c>
      <c r="B102" s="3">
        <f t="shared" si="4"/>
        <v>-0.37373737373737553</v>
      </c>
      <c r="D102" s="8">
        <f t="shared" si="3"/>
        <v>1</v>
      </c>
      <c r="E102" s="1">
        <f t="shared" si="3"/>
        <v>0</v>
      </c>
      <c r="F102" s="1">
        <f t="shared" si="3"/>
        <v>0</v>
      </c>
    </row>
    <row r="103" spans="1:6" x14ac:dyDescent="0.3">
      <c r="A103" s="2">
        <v>94</v>
      </c>
      <c r="B103" s="3">
        <f t="shared" si="4"/>
        <v>-0.36700336700336877</v>
      </c>
      <c r="D103" s="8">
        <f t="shared" si="3"/>
        <v>1</v>
      </c>
      <c r="E103" s="1">
        <f t="shared" si="3"/>
        <v>0</v>
      </c>
      <c r="F103" s="1">
        <f t="shared" si="3"/>
        <v>0</v>
      </c>
    </row>
    <row r="104" spans="1:6" x14ac:dyDescent="0.3">
      <c r="A104" s="2">
        <v>95</v>
      </c>
      <c r="B104" s="3">
        <f t="shared" si="4"/>
        <v>-0.36026936026936202</v>
      </c>
      <c r="D104" s="8">
        <f t="shared" si="3"/>
        <v>1</v>
      </c>
      <c r="E104" s="1">
        <f t="shared" si="3"/>
        <v>0</v>
      </c>
      <c r="F104" s="1">
        <f t="shared" si="3"/>
        <v>0</v>
      </c>
    </row>
    <row r="105" spans="1:6" x14ac:dyDescent="0.3">
      <c r="A105" s="2">
        <v>96</v>
      </c>
      <c r="B105" s="3">
        <f t="shared" si="4"/>
        <v>-0.35353535353535526</v>
      </c>
      <c r="D105" s="8">
        <f t="shared" si="3"/>
        <v>1</v>
      </c>
      <c r="E105" s="1">
        <f t="shared" si="3"/>
        <v>0</v>
      </c>
      <c r="F105" s="1">
        <f t="shared" si="3"/>
        <v>0</v>
      </c>
    </row>
    <row r="106" spans="1:6" x14ac:dyDescent="0.3">
      <c r="A106" s="2">
        <v>97</v>
      </c>
      <c r="B106" s="3">
        <f t="shared" si="4"/>
        <v>-0.3468013468013485</v>
      </c>
      <c r="D106" s="8">
        <f t="shared" si="3"/>
        <v>1</v>
      </c>
      <c r="E106" s="1">
        <f t="shared" si="3"/>
        <v>0</v>
      </c>
      <c r="F106" s="1">
        <f t="shared" si="3"/>
        <v>0</v>
      </c>
    </row>
    <row r="107" spans="1:6" x14ac:dyDescent="0.3">
      <c r="A107" s="2">
        <v>98</v>
      </c>
      <c r="B107" s="3">
        <f t="shared" si="4"/>
        <v>-0.34006734006734174</v>
      </c>
      <c r="D107" s="8">
        <f t="shared" si="3"/>
        <v>1</v>
      </c>
      <c r="E107" s="1">
        <f t="shared" si="3"/>
        <v>0</v>
      </c>
      <c r="F107" s="1">
        <f t="shared" si="3"/>
        <v>0</v>
      </c>
    </row>
    <row r="108" spans="1:6" x14ac:dyDescent="0.3">
      <c r="A108" s="2">
        <v>99</v>
      </c>
      <c r="B108" s="3">
        <f t="shared" si="4"/>
        <v>-0.33333333333333498</v>
      </c>
      <c r="D108" s="8">
        <f t="shared" si="3"/>
        <v>1</v>
      </c>
      <c r="E108" s="1">
        <f t="shared" si="3"/>
        <v>0</v>
      </c>
      <c r="F108" s="1">
        <f t="shared" si="3"/>
        <v>0</v>
      </c>
    </row>
    <row r="109" spans="1:6" x14ac:dyDescent="0.3">
      <c r="A109" s="2">
        <v>100</v>
      </c>
      <c r="B109" s="3">
        <f t="shared" si="4"/>
        <v>-0.32659932659932822</v>
      </c>
      <c r="D109" s="8">
        <f t="shared" si="3"/>
        <v>1</v>
      </c>
      <c r="E109" s="1">
        <f t="shared" si="3"/>
        <v>0</v>
      </c>
      <c r="F109" s="1">
        <f t="shared" si="3"/>
        <v>0</v>
      </c>
    </row>
    <row r="110" spans="1:6" x14ac:dyDescent="0.3">
      <c r="A110" s="2">
        <v>101</v>
      </c>
      <c r="B110" s="3">
        <f t="shared" si="4"/>
        <v>-0.31986531986532146</v>
      </c>
      <c r="D110" s="8">
        <f t="shared" si="3"/>
        <v>1</v>
      </c>
      <c r="E110" s="1">
        <f t="shared" si="3"/>
        <v>0</v>
      </c>
      <c r="F110" s="1">
        <f t="shared" si="3"/>
        <v>0</v>
      </c>
    </row>
    <row r="111" spans="1:6" x14ac:dyDescent="0.3">
      <c r="A111" s="2">
        <v>102</v>
      </c>
      <c r="B111" s="3">
        <f t="shared" si="4"/>
        <v>-0.3131313131313147</v>
      </c>
      <c r="D111" s="8">
        <f t="shared" si="3"/>
        <v>1</v>
      </c>
      <c r="E111" s="1">
        <f t="shared" si="3"/>
        <v>0</v>
      </c>
      <c r="F111" s="1">
        <f t="shared" si="3"/>
        <v>0</v>
      </c>
    </row>
    <row r="112" spans="1:6" x14ac:dyDescent="0.3">
      <c r="A112" s="2">
        <v>103</v>
      </c>
      <c r="B112" s="3">
        <f t="shared" si="4"/>
        <v>-0.30639730639730794</v>
      </c>
      <c r="D112" s="8">
        <f t="shared" ref="D112:F162" si="5">IF($B112&gt;D$5,0,IF($B112&gt;D$4,(D$5-$B112)/(D$5-D$4),IF($B112&gt;D$3,1,IF($B112&gt;D$2,($B112-D$2)/(D$3-D$2),0))))</f>
        <v>1</v>
      </c>
      <c r="E112" s="1">
        <f t="shared" si="5"/>
        <v>0</v>
      </c>
      <c r="F112" s="1">
        <f t="shared" si="5"/>
        <v>0</v>
      </c>
    </row>
    <row r="113" spans="1:6" x14ac:dyDescent="0.3">
      <c r="A113" s="2">
        <v>104</v>
      </c>
      <c r="B113" s="3">
        <f t="shared" si="4"/>
        <v>-0.29966329966330119</v>
      </c>
      <c r="D113" s="8">
        <f t="shared" si="5"/>
        <v>1</v>
      </c>
      <c r="E113" s="1">
        <f t="shared" si="5"/>
        <v>0</v>
      </c>
      <c r="F113" s="1">
        <f t="shared" si="5"/>
        <v>0</v>
      </c>
    </row>
    <row r="114" spans="1:6" x14ac:dyDescent="0.3">
      <c r="A114" s="2">
        <v>105</v>
      </c>
      <c r="B114" s="3">
        <f t="shared" si="4"/>
        <v>-0.29292929292929443</v>
      </c>
      <c r="D114" s="8">
        <f t="shared" si="5"/>
        <v>1</v>
      </c>
      <c r="E114" s="1">
        <f t="shared" si="5"/>
        <v>0</v>
      </c>
      <c r="F114" s="1">
        <f t="shared" si="5"/>
        <v>0</v>
      </c>
    </row>
    <row r="115" spans="1:6" x14ac:dyDescent="0.3">
      <c r="A115" s="2">
        <v>106</v>
      </c>
      <c r="B115" s="3">
        <f t="shared" si="4"/>
        <v>-0.28619528619528767</v>
      </c>
      <c r="D115" s="8">
        <f t="shared" si="5"/>
        <v>1</v>
      </c>
      <c r="E115" s="1">
        <f t="shared" si="5"/>
        <v>0</v>
      </c>
      <c r="F115" s="1">
        <f t="shared" si="5"/>
        <v>0</v>
      </c>
    </row>
    <row r="116" spans="1:6" x14ac:dyDescent="0.3">
      <c r="A116" s="2">
        <v>107</v>
      </c>
      <c r="B116" s="3">
        <f t="shared" si="4"/>
        <v>-0.27946127946128091</v>
      </c>
      <c r="D116" s="8">
        <f t="shared" si="5"/>
        <v>1</v>
      </c>
      <c r="E116" s="1">
        <f t="shared" si="5"/>
        <v>0</v>
      </c>
      <c r="F116" s="1">
        <f t="shared" si="5"/>
        <v>0</v>
      </c>
    </row>
    <row r="117" spans="1:6" x14ac:dyDescent="0.3">
      <c r="A117" s="2">
        <v>108</v>
      </c>
      <c r="B117" s="3">
        <f t="shared" si="4"/>
        <v>-0.27272727272727415</v>
      </c>
      <c r="D117" s="8">
        <f t="shared" si="5"/>
        <v>1</v>
      </c>
      <c r="E117" s="1">
        <f t="shared" si="5"/>
        <v>0</v>
      </c>
      <c r="F117" s="1">
        <f t="shared" si="5"/>
        <v>0</v>
      </c>
    </row>
    <row r="118" spans="1:6" x14ac:dyDescent="0.3">
      <c r="A118" s="2">
        <v>109</v>
      </c>
      <c r="B118" s="3">
        <f t="shared" si="4"/>
        <v>-0.26599326599326739</v>
      </c>
      <c r="D118" s="8">
        <f t="shared" si="5"/>
        <v>1</v>
      </c>
      <c r="E118" s="1">
        <f t="shared" si="5"/>
        <v>0</v>
      </c>
      <c r="F118" s="1">
        <f t="shared" si="5"/>
        <v>0</v>
      </c>
    </row>
    <row r="119" spans="1:6" x14ac:dyDescent="0.3">
      <c r="A119" s="2">
        <v>110</v>
      </c>
      <c r="B119" s="3">
        <f t="shared" si="4"/>
        <v>-0.25925925925926063</v>
      </c>
      <c r="D119" s="8">
        <f t="shared" si="5"/>
        <v>1</v>
      </c>
      <c r="E119" s="1">
        <f t="shared" si="5"/>
        <v>0</v>
      </c>
      <c r="F119" s="1">
        <f t="shared" si="5"/>
        <v>0</v>
      </c>
    </row>
    <row r="120" spans="1:6" x14ac:dyDescent="0.3">
      <c r="A120" s="2">
        <v>111</v>
      </c>
      <c r="B120" s="3">
        <f t="shared" si="4"/>
        <v>-0.25252525252525387</v>
      </c>
      <c r="D120" s="8">
        <f t="shared" si="5"/>
        <v>1</v>
      </c>
      <c r="E120" s="1">
        <f t="shared" si="5"/>
        <v>0</v>
      </c>
      <c r="F120" s="1">
        <f t="shared" si="5"/>
        <v>0</v>
      </c>
    </row>
    <row r="121" spans="1:6" x14ac:dyDescent="0.3">
      <c r="A121" s="2">
        <v>112</v>
      </c>
      <c r="B121" s="3">
        <f t="shared" si="4"/>
        <v>-0.24579124579124714</v>
      </c>
      <c r="D121" s="8">
        <f t="shared" si="5"/>
        <v>1</v>
      </c>
      <c r="E121" s="1">
        <f t="shared" si="5"/>
        <v>0</v>
      </c>
      <c r="F121" s="1">
        <f t="shared" si="5"/>
        <v>0</v>
      </c>
    </row>
    <row r="122" spans="1:6" x14ac:dyDescent="0.3">
      <c r="A122" s="2">
        <v>113</v>
      </c>
      <c r="B122" s="3">
        <f t="shared" si="4"/>
        <v>-0.23905723905724041</v>
      </c>
      <c r="D122" s="8">
        <f t="shared" si="5"/>
        <v>1</v>
      </c>
      <c r="E122" s="1">
        <f t="shared" si="5"/>
        <v>0</v>
      </c>
      <c r="F122" s="1">
        <f t="shared" si="5"/>
        <v>0</v>
      </c>
    </row>
    <row r="123" spans="1:6" x14ac:dyDescent="0.3">
      <c r="A123" s="2">
        <v>114</v>
      </c>
      <c r="B123" s="3">
        <f t="shared" si="4"/>
        <v>-0.23232323232323368</v>
      </c>
      <c r="D123" s="8">
        <f t="shared" si="5"/>
        <v>1</v>
      </c>
      <c r="E123" s="1">
        <f t="shared" si="5"/>
        <v>0</v>
      </c>
      <c r="F123" s="1">
        <f t="shared" si="5"/>
        <v>0</v>
      </c>
    </row>
    <row r="124" spans="1:6" x14ac:dyDescent="0.3">
      <c r="A124" s="2">
        <v>115</v>
      </c>
      <c r="B124" s="3">
        <f t="shared" si="4"/>
        <v>-0.22558922558922695</v>
      </c>
      <c r="D124" s="8">
        <f t="shared" si="5"/>
        <v>1</v>
      </c>
      <c r="E124" s="1">
        <f t="shared" si="5"/>
        <v>0</v>
      </c>
      <c r="F124" s="1">
        <f t="shared" si="5"/>
        <v>0</v>
      </c>
    </row>
    <row r="125" spans="1:6" x14ac:dyDescent="0.3">
      <c r="A125" s="2">
        <v>116</v>
      </c>
      <c r="B125" s="3">
        <f t="shared" si="4"/>
        <v>-0.21885521885522022</v>
      </c>
      <c r="D125" s="8">
        <f t="shared" si="5"/>
        <v>1</v>
      </c>
      <c r="E125" s="1">
        <f t="shared" si="5"/>
        <v>0</v>
      </c>
      <c r="F125" s="1">
        <f t="shared" si="5"/>
        <v>0</v>
      </c>
    </row>
    <row r="126" spans="1:6" x14ac:dyDescent="0.3">
      <c r="A126" s="2">
        <v>117</v>
      </c>
      <c r="B126" s="3">
        <f t="shared" si="4"/>
        <v>-0.21212121212121349</v>
      </c>
      <c r="D126" s="8">
        <f t="shared" si="5"/>
        <v>1</v>
      </c>
      <c r="E126" s="1">
        <f t="shared" si="5"/>
        <v>0</v>
      </c>
      <c r="F126" s="1">
        <f t="shared" si="5"/>
        <v>0</v>
      </c>
    </row>
    <row r="127" spans="1:6" x14ac:dyDescent="0.3">
      <c r="A127" s="2">
        <v>118</v>
      </c>
      <c r="B127" s="3">
        <f t="shared" si="4"/>
        <v>-0.20538720538720676</v>
      </c>
      <c r="D127" s="8">
        <f t="shared" si="5"/>
        <v>1</v>
      </c>
      <c r="E127" s="1">
        <f t="shared" si="5"/>
        <v>0</v>
      </c>
      <c r="F127" s="1">
        <f t="shared" si="5"/>
        <v>0</v>
      </c>
    </row>
    <row r="128" spans="1:6" x14ac:dyDescent="0.3">
      <c r="A128" s="2">
        <v>119</v>
      </c>
      <c r="B128" s="3">
        <f t="shared" si="4"/>
        <v>-0.19865319865320002</v>
      </c>
      <c r="D128" s="8">
        <f t="shared" si="5"/>
        <v>0.99326599326600007</v>
      </c>
      <c r="E128" s="1">
        <f t="shared" si="5"/>
        <v>6.734006733999931E-3</v>
      </c>
      <c r="F128" s="1">
        <f t="shared" si="5"/>
        <v>0</v>
      </c>
    </row>
    <row r="129" spans="1:6" x14ac:dyDescent="0.3">
      <c r="A129" s="2">
        <v>120</v>
      </c>
      <c r="B129" s="3">
        <f t="shared" si="4"/>
        <v>-0.19191919191919329</v>
      </c>
      <c r="D129" s="8">
        <f t="shared" si="5"/>
        <v>0.95959595959596644</v>
      </c>
      <c r="E129" s="1">
        <f t="shared" si="5"/>
        <v>4.0404040404033587E-2</v>
      </c>
      <c r="F129" s="1">
        <f t="shared" si="5"/>
        <v>0</v>
      </c>
    </row>
    <row r="130" spans="1:6" x14ac:dyDescent="0.3">
      <c r="A130" s="2">
        <v>121</v>
      </c>
      <c r="B130" s="3">
        <f t="shared" si="4"/>
        <v>-0.18518518518518656</v>
      </c>
      <c r="D130" s="8">
        <f t="shared" si="5"/>
        <v>0.92592592592593281</v>
      </c>
      <c r="E130" s="1">
        <f t="shared" si="5"/>
        <v>7.4074074074067242E-2</v>
      </c>
      <c r="F130" s="1">
        <f t="shared" si="5"/>
        <v>0</v>
      </c>
    </row>
    <row r="131" spans="1:6" x14ac:dyDescent="0.3">
      <c r="A131" s="2">
        <v>122</v>
      </c>
      <c r="B131" s="3">
        <f t="shared" si="4"/>
        <v>-0.17845117845117983</v>
      </c>
      <c r="D131" s="8">
        <f t="shared" si="5"/>
        <v>0.89225589225589907</v>
      </c>
      <c r="E131" s="1">
        <f t="shared" si="5"/>
        <v>0.1077441077441009</v>
      </c>
      <c r="F131" s="1">
        <f t="shared" si="5"/>
        <v>0</v>
      </c>
    </row>
    <row r="132" spans="1:6" x14ac:dyDescent="0.3">
      <c r="A132" s="2">
        <v>123</v>
      </c>
      <c r="B132" s="3">
        <f t="shared" si="4"/>
        <v>-0.1717171717171731</v>
      </c>
      <c r="D132" s="8">
        <f t="shared" si="5"/>
        <v>0.85858585858586545</v>
      </c>
      <c r="E132" s="1">
        <f t="shared" si="5"/>
        <v>0.14141414141413455</v>
      </c>
      <c r="F132" s="1">
        <f t="shared" si="5"/>
        <v>0</v>
      </c>
    </row>
    <row r="133" spans="1:6" x14ac:dyDescent="0.3">
      <c r="A133" s="2">
        <v>124</v>
      </c>
      <c r="B133" s="3">
        <f t="shared" si="4"/>
        <v>-0.16498316498316637</v>
      </c>
      <c r="D133" s="8">
        <f t="shared" si="5"/>
        <v>0.82491582491583182</v>
      </c>
      <c r="E133" s="1">
        <f t="shared" si="5"/>
        <v>0.17508417508416821</v>
      </c>
      <c r="F133" s="1">
        <f t="shared" si="5"/>
        <v>0</v>
      </c>
    </row>
    <row r="134" spans="1:6" x14ac:dyDescent="0.3">
      <c r="A134" s="2">
        <v>125</v>
      </c>
      <c r="B134" s="3">
        <f t="shared" si="4"/>
        <v>-0.15824915824915964</v>
      </c>
      <c r="D134" s="1">
        <f t="shared" si="5"/>
        <v>0.79124579124579819</v>
      </c>
      <c r="E134" s="1">
        <f t="shared" si="5"/>
        <v>0.20875420875420186</v>
      </c>
      <c r="F134" s="1">
        <f t="shared" si="5"/>
        <v>0</v>
      </c>
    </row>
    <row r="135" spans="1:6" x14ac:dyDescent="0.3">
      <c r="A135" s="2">
        <v>126</v>
      </c>
      <c r="B135" s="3">
        <f t="shared" si="4"/>
        <v>-0.15151515151515291</v>
      </c>
      <c r="D135" s="1">
        <f t="shared" si="5"/>
        <v>0.75757575757576445</v>
      </c>
      <c r="E135" s="1">
        <f t="shared" si="5"/>
        <v>0.24242424242423552</v>
      </c>
      <c r="F135" s="1">
        <f t="shared" si="5"/>
        <v>0</v>
      </c>
    </row>
    <row r="136" spans="1:6" x14ac:dyDescent="0.3">
      <c r="A136" s="2">
        <v>127</v>
      </c>
      <c r="B136" s="3">
        <f t="shared" si="4"/>
        <v>-0.14478114478114618</v>
      </c>
      <c r="D136" s="1">
        <f t="shared" si="5"/>
        <v>0.72390572390573082</v>
      </c>
      <c r="E136" s="1">
        <f t="shared" si="5"/>
        <v>0.27609427609426918</v>
      </c>
      <c r="F136" s="1">
        <f t="shared" si="5"/>
        <v>0</v>
      </c>
    </row>
    <row r="137" spans="1:6" x14ac:dyDescent="0.3">
      <c r="A137" s="2">
        <v>128</v>
      </c>
      <c r="B137" s="3">
        <f t="shared" si="4"/>
        <v>-0.13804713804713944</v>
      </c>
      <c r="D137" s="1">
        <f t="shared" si="5"/>
        <v>0.6902356902356972</v>
      </c>
      <c r="E137" s="1">
        <f t="shared" si="5"/>
        <v>0.3097643097643028</v>
      </c>
      <c r="F137" s="1">
        <f t="shared" si="5"/>
        <v>0</v>
      </c>
    </row>
    <row r="138" spans="1:6" x14ac:dyDescent="0.3">
      <c r="A138" s="2">
        <v>129</v>
      </c>
      <c r="B138" s="3">
        <f t="shared" si="4"/>
        <v>-0.13131313131313271</v>
      </c>
      <c r="D138" s="1">
        <f t="shared" si="5"/>
        <v>0.65656565656566357</v>
      </c>
      <c r="E138" s="1">
        <f t="shared" si="5"/>
        <v>0.34343434343433649</v>
      </c>
      <c r="F138" s="1">
        <f t="shared" si="5"/>
        <v>0</v>
      </c>
    </row>
    <row r="139" spans="1:6" x14ac:dyDescent="0.3">
      <c r="A139" s="2">
        <v>130</v>
      </c>
      <c r="B139" s="3">
        <f t="shared" ref="B139:B202" si="6">B138+((B$306-B$9)/297)</f>
        <v>-0.12457912457912598</v>
      </c>
      <c r="D139" s="1">
        <f t="shared" si="5"/>
        <v>0.62289562289562983</v>
      </c>
      <c r="E139" s="1">
        <f t="shared" si="5"/>
        <v>0.37710437710437011</v>
      </c>
      <c r="F139" s="1">
        <f t="shared" si="5"/>
        <v>0</v>
      </c>
    </row>
    <row r="140" spans="1:6" x14ac:dyDescent="0.3">
      <c r="A140" s="2">
        <v>131</v>
      </c>
      <c r="B140" s="3">
        <f t="shared" si="6"/>
        <v>-0.11784511784511925</v>
      </c>
      <c r="D140" s="1">
        <f t="shared" si="5"/>
        <v>0.5892255892255962</v>
      </c>
      <c r="E140" s="1">
        <f t="shared" si="5"/>
        <v>0.4107744107744038</v>
      </c>
      <c r="F140" s="1">
        <f t="shared" si="5"/>
        <v>0</v>
      </c>
    </row>
    <row r="141" spans="1:6" x14ac:dyDescent="0.3">
      <c r="A141" s="2">
        <v>132</v>
      </c>
      <c r="B141" s="3">
        <f t="shared" si="6"/>
        <v>-0.11111111111111252</v>
      </c>
      <c r="D141" s="1">
        <f t="shared" si="5"/>
        <v>0.55555555555556257</v>
      </c>
      <c r="E141" s="1">
        <f t="shared" si="5"/>
        <v>0.44444444444443743</v>
      </c>
      <c r="F141" s="1">
        <f t="shared" si="5"/>
        <v>0</v>
      </c>
    </row>
    <row r="142" spans="1:6" x14ac:dyDescent="0.3">
      <c r="A142" s="2">
        <v>133</v>
      </c>
      <c r="B142" s="3">
        <f t="shared" si="6"/>
        <v>-0.10437710437710579</v>
      </c>
      <c r="D142" s="1">
        <f t="shared" si="5"/>
        <v>0.52188552188552895</v>
      </c>
      <c r="E142" s="1">
        <f t="shared" si="5"/>
        <v>0.47811447811447111</v>
      </c>
      <c r="F142" s="1">
        <f t="shared" si="5"/>
        <v>0</v>
      </c>
    </row>
    <row r="143" spans="1:6" x14ac:dyDescent="0.3">
      <c r="A143" s="2">
        <v>134</v>
      </c>
      <c r="B143" s="3">
        <f t="shared" si="6"/>
        <v>-9.7643097643099058E-2</v>
      </c>
      <c r="D143" s="1">
        <f t="shared" si="5"/>
        <v>0.48821548821549526</v>
      </c>
      <c r="E143" s="1">
        <f t="shared" si="5"/>
        <v>0.51178451178450468</v>
      </c>
      <c r="F143" s="1">
        <f t="shared" si="5"/>
        <v>0</v>
      </c>
    </row>
    <row r="144" spans="1:6" x14ac:dyDescent="0.3">
      <c r="A144" s="2">
        <v>135</v>
      </c>
      <c r="B144" s="3">
        <f t="shared" si="6"/>
        <v>-9.0909090909092327E-2</v>
      </c>
      <c r="D144" s="1">
        <f t="shared" si="5"/>
        <v>0.45454545454546164</v>
      </c>
      <c r="E144" s="1">
        <f t="shared" si="5"/>
        <v>0.54545454545453842</v>
      </c>
      <c r="F144" s="1">
        <f t="shared" si="5"/>
        <v>0</v>
      </c>
    </row>
    <row r="145" spans="1:6" x14ac:dyDescent="0.3">
      <c r="A145" s="2">
        <v>136</v>
      </c>
      <c r="B145" s="3">
        <f t="shared" si="6"/>
        <v>-8.4175084175085596E-2</v>
      </c>
      <c r="D145" s="1">
        <f t="shared" si="5"/>
        <v>0.42087542087542795</v>
      </c>
      <c r="E145" s="1">
        <f t="shared" si="5"/>
        <v>0.57912457912457205</v>
      </c>
      <c r="F145" s="1">
        <f t="shared" si="5"/>
        <v>0</v>
      </c>
    </row>
    <row r="146" spans="1:6" x14ac:dyDescent="0.3">
      <c r="A146" s="2">
        <v>137</v>
      </c>
      <c r="B146" s="3">
        <f t="shared" si="6"/>
        <v>-7.7441077441078865E-2</v>
      </c>
      <c r="D146" s="1">
        <f t="shared" si="5"/>
        <v>0.38720538720539432</v>
      </c>
      <c r="E146" s="1">
        <f t="shared" si="5"/>
        <v>0.61279461279460568</v>
      </c>
      <c r="F146" s="1">
        <f t="shared" si="5"/>
        <v>0</v>
      </c>
    </row>
    <row r="147" spans="1:6" x14ac:dyDescent="0.3">
      <c r="A147" s="2">
        <v>138</v>
      </c>
      <c r="B147" s="3">
        <f t="shared" si="6"/>
        <v>-7.0707070707072134E-2</v>
      </c>
      <c r="D147" s="1">
        <f t="shared" si="5"/>
        <v>0.35353535353536064</v>
      </c>
      <c r="E147" s="1">
        <f t="shared" si="5"/>
        <v>0.6464646464646393</v>
      </c>
      <c r="F147" s="1">
        <f t="shared" si="5"/>
        <v>0</v>
      </c>
    </row>
    <row r="148" spans="1:6" x14ac:dyDescent="0.3">
      <c r="A148" s="2">
        <v>139</v>
      </c>
      <c r="B148" s="3">
        <f t="shared" si="6"/>
        <v>-6.3973063973065403E-2</v>
      </c>
      <c r="D148" s="1">
        <f t="shared" si="5"/>
        <v>0.31986531986532701</v>
      </c>
      <c r="E148" s="1">
        <f t="shared" si="5"/>
        <v>0.68013468013467304</v>
      </c>
      <c r="F148" s="1">
        <f t="shared" si="5"/>
        <v>0</v>
      </c>
    </row>
    <row r="149" spans="1:6" x14ac:dyDescent="0.3">
      <c r="A149" s="2">
        <v>140</v>
      </c>
      <c r="B149" s="3">
        <f t="shared" si="6"/>
        <v>-5.7239057239058672E-2</v>
      </c>
      <c r="D149" s="1">
        <f t="shared" si="5"/>
        <v>0.28619528619529333</v>
      </c>
      <c r="E149" s="1">
        <f t="shared" si="5"/>
        <v>0.71380471380470667</v>
      </c>
      <c r="F149" s="1">
        <f t="shared" si="5"/>
        <v>0</v>
      </c>
    </row>
    <row r="150" spans="1:6" x14ac:dyDescent="0.3">
      <c r="A150" s="2">
        <v>141</v>
      </c>
      <c r="B150" s="3">
        <f t="shared" si="6"/>
        <v>-5.050505050505194E-2</v>
      </c>
      <c r="D150" s="1">
        <f t="shared" si="5"/>
        <v>0.2525252525252597</v>
      </c>
      <c r="E150" s="1">
        <f t="shared" si="5"/>
        <v>0.7474747474747403</v>
      </c>
      <c r="F150" s="1">
        <f t="shared" si="5"/>
        <v>0</v>
      </c>
    </row>
    <row r="151" spans="1:6" x14ac:dyDescent="0.3">
      <c r="A151" s="2">
        <v>142</v>
      </c>
      <c r="B151" s="3">
        <f t="shared" si="6"/>
        <v>-4.3771043771045209E-2</v>
      </c>
      <c r="D151" s="1">
        <f t="shared" si="5"/>
        <v>0.21885521885522605</v>
      </c>
      <c r="E151" s="1">
        <f t="shared" si="5"/>
        <v>0.78114478114477393</v>
      </c>
      <c r="F151" s="1">
        <f t="shared" si="5"/>
        <v>0</v>
      </c>
    </row>
    <row r="152" spans="1:6" x14ac:dyDescent="0.3">
      <c r="A152" s="2">
        <v>143</v>
      </c>
      <c r="B152" s="3">
        <f t="shared" si="6"/>
        <v>-3.7037037037038478E-2</v>
      </c>
      <c r="D152" s="1">
        <f t="shared" si="5"/>
        <v>0.18518518518519239</v>
      </c>
      <c r="E152" s="7">
        <f t="shared" si="5"/>
        <v>0.81481481481480766</v>
      </c>
      <c r="F152" s="1">
        <f t="shared" si="5"/>
        <v>0</v>
      </c>
    </row>
    <row r="153" spans="1:6" x14ac:dyDescent="0.3">
      <c r="A153" s="2">
        <v>144</v>
      </c>
      <c r="B153" s="3">
        <f t="shared" si="6"/>
        <v>-3.0303030303031744E-2</v>
      </c>
      <c r="D153" s="1">
        <f t="shared" si="5"/>
        <v>0.15151515151515871</v>
      </c>
      <c r="E153" s="7">
        <f t="shared" si="5"/>
        <v>0.84848484848484129</v>
      </c>
      <c r="F153" s="1">
        <f t="shared" si="5"/>
        <v>0</v>
      </c>
    </row>
    <row r="154" spans="1:6" x14ac:dyDescent="0.3">
      <c r="A154" s="2">
        <v>145</v>
      </c>
      <c r="B154" s="3">
        <f t="shared" si="6"/>
        <v>-2.3569023569025009E-2</v>
      </c>
      <c r="D154" s="1">
        <f t="shared" si="5"/>
        <v>0.11784511784512504</v>
      </c>
      <c r="E154" s="7">
        <f t="shared" si="5"/>
        <v>0.88215488215487492</v>
      </c>
      <c r="F154" s="1">
        <f t="shared" si="5"/>
        <v>0</v>
      </c>
    </row>
    <row r="155" spans="1:6" x14ac:dyDescent="0.3">
      <c r="A155" s="2">
        <v>146</v>
      </c>
      <c r="B155" s="3">
        <f t="shared" si="6"/>
        <v>-1.6835016835018275E-2</v>
      </c>
      <c r="D155" s="1">
        <f t="shared" si="5"/>
        <v>8.4175084175091369E-2</v>
      </c>
      <c r="E155" s="7">
        <f t="shared" si="5"/>
        <v>0.91582491582490855</v>
      </c>
      <c r="F155" s="1">
        <f t="shared" si="5"/>
        <v>0</v>
      </c>
    </row>
    <row r="156" spans="1:6" x14ac:dyDescent="0.3">
      <c r="A156" s="2">
        <v>147</v>
      </c>
      <c r="B156" s="3">
        <f t="shared" si="6"/>
        <v>-1.010101010101154E-2</v>
      </c>
      <c r="D156" s="1">
        <f t="shared" si="5"/>
        <v>5.05050505050577E-2</v>
      </c>
      <c r="E156" s="7">
        <f t="shared" si="5"/>
        <v>0.94949494949494229</v>
      </c>
      <c r="F156" s="1">
        <f t="shared" si="5"/>
        <v>0</v>
      </c>
    </row>
    <row r="157" spans="1:6" x14ac:dyDescent="0.3">
      <c r="A157" s="2">
        <v>148</v>
      </c>
      <c r="B157" s="3">
        <f t="shared" si="6"/>
        <v>-3.3670033670048062E-3</v>
      </c>
      <c r="D157" s="1">
        <f t="shared" si="5"/>
        <v>1.683501683502403E-2</v>
      </c>
      <c r="E157" s="7">
        <f t="shared" si="5"/>
        <v>0.98316498316497603</v>
      </c>
      <c r="F157" s="1">
        <f t="shared" si="5"/>
        <v>0</v>
      </c>
    </row>
    <row r="158" spans="1:6" x14ac:dyDescent="0.3">
      <c r="A158" s="2">
        <v>149</v>
      </c>
      <c r="B158" s="3">
        <f t="shared" si="6"/>
        <v>3.3670033670019275E-3</v>
      </c>
      <c r="D158" s="1">
        <f t="shared" si="5"/>
        <v>0</v>
      </c>
      <c r="E158" s="7">
        <f t="shared" si="5"/>
        <v>0.98316498316499035</v>
      </c>
      <c r="F158" s="1">
        <f t="shared" si="5"/>
        <v>1.6835016835009636E-2</v>
      </c>
    </row>
    <row r="159" spans="1:6" x14ac:dyDescent="0.3">
      <c r="A159" s="2">
        <v>150</v>
      </c>
      <c r="B159" s="3">
        <f t="shared" si="6"/>
        <v>1.010101010100866E-2</v>
      </c>
      <c r="D159" s="1">
        <f t="shared" si="5"/>
        <v>0</v>
      </c>
      <c r="E159" s="7">
        <f t="shared" si="5"/>
        <v>0.94949494949495672</v>
      </c>
      <c r="F159" s="1">
        <f t="shared" si="5"/>
        <v>5.0505050505043302E-2</v>
      </c>
    </row>
    <row r="160" spans="1:6" x14ac:dyDescent="0.3">
      <c r="A160" s="2">
        <v>151</v>
      </c>
      <c r="B160" s="3">
        <f t="shared" si="6"/>
        <v>1.6835016835015395E-2</v>
      </c>
      <c r="D160" s="1">
        <f t="shared" si="5"/>
        <v>0</v>
      </c>
      <c r="E160" s="7">
        <f t="shared" si="5"/>
        <v>0.91582491582492298</v>
      </c>
      <c r="F160" s="1">
        <f t="shared" si="5"/>
        <v>8.4175084175076964E-2</v>
      </c>
    </row>
    <row r="161" spans="1:6" x14ac:dyDescent="0.3">
      <c r="A161" s="2">
        <v>152</v>
      </c>
      <c r="B161" s="3">
        <f t="shared" si="6"/>
        <v>2.3569023569022129E-2</v>
      </c>
      <c r="D161" s="1">
        <f t="shared" si="5"/>
        <v>0</v>
      </c>
      <c r="E161" s="7">
        <f t="shared" si="5"/>
        <v>0.88215488215488935</v>
      </c>
      <c r="F161" s="1">
        <f t="shared" si="5"/>
        <v>0.11784511784511065</v>
      </c>
    </row>
    <row r="162" spans="1:6" x14ac:dyDescent="0.3">
      <c r="A162" s="2">
        <v>153</v>
      </c>
      <c r="B162" s="3">
        <f t="shared" si="6"/>
        <v>3.0303030303028864E-2</v>
      </c>
      <c r="D162" s="1">
        <f t="shared" si="5"/>
        <v>0</v>
      </c>
      <c r="E162" s="7">
        <f t="shared" si="5"/>
        <v>0.84848484848485572</v>
      </c>
      <c r="F162" s="1">
        <f t="shared" si="5"/>
        <v>0.1515151515151443</v>
      </c>
    </row>
    <row r="163" spans="1:6" x14ac:dyDescent="0.3">
      <c r="A163" s="2">
        <v>154</v>
      </c>
      <c r="B163" s="3">
        <f t="shared" si="6"/>
        <v>3.7037037037035599E-2</v>
      </c>
      <c r="D163" s="1">
        <f t="shared" ref="D163:F213" si="7">IF($B163&gt;D$5,0,IF($B163&gt;D$4,(D$5-$B163)/(D$5-D$4),IF($B163&gt;D$3,1,IF($B163&gt;D$2,($B163-D$2)/(D$3-D$2),0))))</f>
        <v>0</v>
      </c>
      <c r="E163" s="7">
        <f t="shared" si="7"/>
        <v>0.8148148148148221</v>
      </c>
      <c r="F163" s="1">
        <f t="shared" si="7"/>
        <v>0.18518518518517799</v>
      </c>
    </row>
    <row r="164" spans="1:6" x14ac:dyDescent="0.3">
      <c r="A164" s="2">
        <v>155</v>
      </c>
      <c r="B164" s="3">
        <f t="shared" si="6"/>
        <v>4.377104377104233E-2</v>
      </c>
      <c r="D164" s="1">
        <f t="shared" si="7"/>
        <v>0</v>
      </c>
      <c r="E164" s="1">
        <f t="shared" si="7"/>
        <v>0.78114478114478836</v>
      </c>
      <c r="F164" s="1">
        <f t="shared" si="7"/>
        <v>0.21885521885521164</v>
      </c>
    </row>
    <row r="165" spans="1:6" x14ac:dyDescent="0.3">
      <c r="A165" s="2">
        <v>156</v>
      </c>
      <c r="B165" s="3">
        <f t="shared" si="6"/>
        <v>5.0505050505049061E-2</v>
      </c>
      <c r="D165" s="1">
        <f t="shared" si="7"/>
        <v>0</v>
      </c>
      <c r="E165" s="1">
        <f t="shared" si="7"/>
        <v>0.74747474747475473</v>
      </c>
      <c r="F165" s="1">
        <f t="shared" si="7"/>
        <v>0.25252525252524527</v>
      </c>
    </row>
    <row r="166" spans="1:6" x14ac:dyDescent="0.3">
      <c r="A166" s="2">
        <v>157</v>
      </c>
      <c r="B166" s="3">
        <f t="shared" si="6"/>
        <v>5.7239057239055792E-2</v>
      </c>
      <c r="D166" s="1">
        <f t="shared" si="7"/>
        <v>0</v>
      </c>
      <c r="E166" s="1">
        <f t="shared" si="7"/>
        <v>0.7138047138047211</v>
      </c>
      <c r="F166" s="1">
        <f t="shared" si="7"/>
        <v>0.28619528619527895</v>
      </c>
    </row>
    <row r="167" spans="1:6" x14ac:dyDescent="0.3">
      <c r="A167" s="2">
        <v>158</v>
      </c>
      <c r="B167" s="3">
        <f t="shared" si="6"/>
        <v>6.397306397306253E-2</v>
      </c>
      <c r="D167" s="1">
        <f t="shared" si="7"/>
        <v>0</v>
      </c>
      <c r="E167" s="1">
        <f t="shared" si="7"/>
        <v>0.68013468013468747</v>
      </c>
      <c r="F167" s="1">
        <f t="shared" si="7"/>
        <v>0.31986531986531264</v>
      </c>
    </row>
    <row r="168" spans="1:6" x14ac:dyDescent="0.3">
      <c r="A168" s="2">
        <v>159</v>
      </c>
      <c r="B168" s="3">
        <f t="shared" si="6"/>
        <v>7.0707070707069261E-2</v>
      </c>
      <c r="D168" s="1">
        <f t="shared" si="7"/>
        <v>0</v>
      </c>
      <c r="E168" s="1">
        <f t="shared" si="7"/>
        <v>0.64646464646465363</v>
      </c>
      <c r="F168" s="1">
        <f t="shared" si="7"/>
        <v>0.35353535353534626</v>
      </c>
    </row>
    <row r="169" spans="1:6" x14ac:dyDescent="0.3">
      <c r="A169" s="2">
        <v>160</v>
      </c>
      <c r="B169" s="3">
        <f t="shared" si="6"/>
        <v>7.7441077441075992E-2</v>
      </c>
      <c r="D169" s="1">
        <f t="shared" si="7"/>
        <v>0</v>
      </c>
      <c r="E169" s="1">
        <f t="shared" si="7"/>
        <v>0.61279461279462011</v>
      </c>
      <c r="F169" s="1">
        <f t="shared" si="7"/>
        <v>0.38720538720537995</v>
      </c>
    </row>
    <row r="170" spans="1:6" x14ac:dyDescent="0.3">
      <c r="A170" s="2">
        <v>161</v>
      </c>
      <c r="B170" s="3">
        <f t="shared" si="6"/>
        <v>8.4175084175082723E-2</v>
      </c>
      <c r="D170" s="1">
        <f t="shared" si="7"/>
        <v>0</v>
      </c>
      <c r="E170" s="1">
        <f t="shared" si="7"/>
        <v>0.57912457912458637</v>
      </c>
      <c r="F170" s="1">
        <f t="shared" si="7"/>
        <v>0.42087542087541358</v>
      </c>
    </row>
    <row r="171" spans="1:6" x14ac:dyDescent="0.3">
      <c r="A171" s="2">
        <v>162</v>
      </c>
      <c r="B171" s="3">
        <f t="shared" si="6"/>
        <v>9.0909090909089454E-2</v>
      </c>
      <c r="D171" s="1">
        <f t="shared" si="7"/>
        <v>0</v>
      </c>
      <c r="E171" s="1">
        <f t="shared" si="7"/>
        <v>0.54545454545455274</v>
      </c>
      <c r="F171" s="1">
        <f t="shared" si="7"/>
        <v>0.45454545454544726</v>
      </c>
    </row>
    <row r="172" spans="1:6" x14ac:dyDescent="0.3">
      <c r="A172" s="2">
        <v>163</v>
      </c>
      <c r="B172" s="3">
        <f t="shared" si="6"/>
        <v>9.7643097643096186E-2</v>
      </c>
      <c r="D172" s="1">
        <f t="shared" si="7"/>
        <v>0</v>
      </c>
      <c r="E172" s="1">
        <f t="shared" si="7"/>
        <v>0.51178451178451911</v>
      </c>
      <c r="F172" s="1">
        <f t="shared" si="7"/>
        <v>0.48821548821548089</v>
      </c>
    </row>
    <row r="173" spans="1:6" x14ac:dyDescent="0.3">
      <c r="A173" s="2">
        <v>164</v>
      </c>
      <c r="B173" s="3">
        <f t="shared" si="6"/>
        <v>0.10437710437710292</v>
      </c>
      <c r="D173" s="1">
        <f t="shared" si="7"/>
        <v>0</v>
      </c>
      <c r="E173" s="1">
        <f t="shared" si="7"/>
        <v>0.47811447811448543</v>
      </c>
      <c r="F173" s="1">
        <f t="shared" si="7"/>
        <v>0.52188552188551451</v>
      </c>
    </row>
    <row r="174" spans="1:6" x14ac:dyDescent="0.3">
      <c r="A174" s="2">
        <v>165</v>
      </c>
      <c r="B174" s="3">
        <f t="shared" si="6"/>
        <v>0.11111111111110965</v>
      </c>
      <c r="D174" s="1">
        <f t="shared" si="7"/>
        <v>0</v>
      </c>
      <c r="E174" s="1">
        <f t="shared" si="7"/>
        <v>0.4444444444444518</v>
      </c>
      <c r="F174" s="1">
        <f t="shared" si="7"/>
        <v>0.55555555555554825</v>
      </c>
    </row>
    <row r="175" spans="1:6" x14ac:dyDescent="0.3">
      <c r="A175" s="2">
        <v>166</v>
      </c>
      <c r="B175" s="3">
        <f t="shared" si="6"/>
        <v>0.11784511784511638</v>
      </c>
      <c r="D175" s="1">
        <f t="shared" si="7"/>
        <v>0</v>
      </c>
      <c r="E175" s="1">
        <f t="shared" si="7"/>
        <v>0.41077441077441812</v>
      </c>
      <c r="F175" s="1">
        <f t="shared" si="7"/>
        <v>0.58922558922558188</v>
      </c>
    </row>
    <row r="176" spans="1:6" x14ac:dyDescent="0.3">
      <c r="A176" s="2">
        <v>167</v>
      </c>
      <c r="B176" s="3">
        <f t="shared" si="6"/>
        <v>0.12457912457912311</v>
      </c>
      <c r="D176" s="1">
        <f t="shared" si="7"/>
        <v>0</v>
      </c>
      <c r="E176" s="1">
        <f t="shared" si="7"/>
        <v>0.37710437710438449</v>
      </c>
      <c r="F176" s="1">
        <f t="shared" si="7"/>
        <v>0.62289562289561551</v>
      </c>
    </row>
    <row r="177" spans="1:6" x14ac:dyDescent="0.3">
      <c r="A177" s="2">
        <v>168</v>
      </c>
      <c r="B177" s="3">
        <f t="shared" si="6"/>
        <v>0.13131313131312985</v>
      </c>
      <c r="D177" s="1">
        <f t="shared" si="7"/>
        <v>0</v>
      </c>
      <c r="E177" s="1">
        <f t="shared" si="7"/>
        <v>0.34343434343435075</v>
      </c>
      <c r="F177" s="1">
        <f t="shared" si="7"/>
        <v>0.65656565656564925</v>
      </c>
    </row>
    <row r="178" spans="1:6" x14ac:dyDescent="0.3">
      <c r="A178" s="2">
        <v>169</v>
      </c>
      <c r="B178" s="3">
        <f t="shared" si="6"/>
        <v>0.13804713804713659</v>
      </c>
      <c r="D178" s="1">
        <f t="shared" si="7"/>
        <v>0</v>
      </c>
      <c r="E178" s="1">
        <f t="shared" si="7"/>
        <v>0.30976430976431713</v>
      </c>
      <c r="F178" s="1">
        <f t="shared" si="7"/>
        <v>0.69023569023568287</v>
      </c>
    </row>
    <row r="179" spans="1:6" x14ac:dyDescent="0.3">
      <c r="A179" s="2">
        <v>170</v>
      </c>
      <c r="B179" s="3">
        <f t="shared" si="6"/>
        <v>0.14478114478114332</v>
      </c>
      <c r="D179" s="1">
        <f t="shared" si="7"/>
        <v>0</v>
      </c>
      <c r="E179" s="1">
        <f t="shared" si="7"/>
        <v>0.27609427609428344</v>
      </c>
      <c r="F179" s="1">
        <f t="shared" si="7"/>
        <v>0.7239057239057165</v>
      </c>
    </row>
    <row r="180" spans="1:6" x14ac:dyDescent="0.3">
      <c r="A180" s="2">
        <v>171</v>
      </c>
      <c r="B180" s="3">
        <f t="shared" si="6"/>
        <v>0.15151515151515005</v>
      </c>
      <c r="D180" s="1">
        <f t="shared" si="7"/>
        <v>0</v>
      </c>
      <c r="E180" s="1">
        <f t="shared" si="7"/>
        <v>0.24242424242424981</v>
      </c>
      <c r="F180" s="1">
        <f t="shared" si="7"/>
        <v>0.75757575757575024</v>
      </c>
    </row>
    <row r="181" spans="1:6" x14ac:dyDescent="0.3">
      <c r="A181" s="2">
        <v>172</v>
      </c>
      <c r="B181" s="3">
        <f t="shared" si="6"/>
        <v>0.15824915824915678</v>
      </c>
      <c r="D181" s="1">
        <f t="shared" si="7"/>
        <v>0</v>
      </c>
      <c r="E181" s="1">
        <f t="shared" si="7"/>
        <v>0.20875420875421616</v>
      </c>
      <c r="F181" s="1">
        <f t="shared" si="7"/>
        <v>0.79124579124578387</v>
      </c>
    </row>
    <row r="182" spans="1:6" x14ac:dyDescent="0.3">
      <c r="A182" s="2">
        <v>173</v>
      </c>
      <c r="B182" s="3">
        <f t="shared" si="6"/>
        <v>0.16498316498316351</v>
      </c>
      <c r="D182" s="1">
        <f t="shared" si="7"/>
        <v>0</v>
      </c>
      <c r="E182" s="1">
        <f t="shared" si="7"/>
        <v>0.1750841750841825</v>
      </c>
      <c r="F182" s="9">
        <f t="shared" si="7"/>
        <v>0.8249158249158175</v>
      </c>
    </row>
    <row r="183" spans="1:6" x14ac:dyDescent="0.3">
      <c r="A183" s="2">
        <v>174</v>
      </c>
      <c r="B183" s="3">
        <f t="shared" si="6"/>
        <v>0.17171717171717024</v>
      </c>
      <c r="D183" s="1">
        <f t="shared" si="7"/>
        <v>0</v>
      </c>
      <c r="E183" s="1">
        <f t="shared" si="7"/>
        <v>0.14141414141414885</v>
      </c>
      <c r="F183" s="9">
        <f t="shared" si="7"/>
        <v>0.85858585858585112</v>
      </c>
    </row>
    <row r="184" spans="1:6" x14ac:dyDescent="0.3">
      <c r="A184" s="2">
        <v>175</v>
      </c>
      <c r="B184" s="3">
        <f t="shared" si="6"/>
        <v>0.17845117845117697</v>
      </c>
      <c r="D184" s="1">
        <f t="shared" si="7"/>
        <v>0</v>
      </c>
      <c r="E184" s="1">
        <f t="shared" si="7"/>
        <v>0.10774410774411519</v>
      </c>
      <c r="F184" s="9">
        <f t="shared" si="7"/>
        <v>0.89225589225588486</v>
      </c>
    </row>
    <row r="185" spans="1:6" x14ac:dyDescent="0.3">
      <c r="A185" s="2">
        <v>176</v>
      </c>
      <c r="B185" s="3">
        <f t="shared" si="6"/>
        <v>0.1851851851851837</v>
      </c>
      <c r="D185" s="1">
        <f t="shared" si="7"/>
        <v>0</v>
      </c>
      <c r="E185" s="1">
        <f t="shared" si="7"/>
        <v>7.4074074074081536E-2</v>
      </c>
      <c r="F185" s="9">
        <f t="shared" si="7"/>
        <v>0.92592592592591849</v>
      </c>
    </row>
    <row r="186" spans="1:6" x14ac:dyDescent="0.3">
      <c r="A186" s="2">
        <v>177</v>
      </c>
      <c r="B186" s="3">
        <f t="shared" si="6"/>
        <v>0.19191919191919043</v>
      </c>
      <c r="D186" s="1">
        <f t="shared" si="7"/>
        <v>0</v>
      </c>
      <c r="E186" s="1">
        <f t="shared" si="7"/>
        <v>4.0404040404047881E-2</v>
      </c>
      <c r="F186" s="9">
        <f t="shared" si="7"/>
        <v>0.95959595959595212</v>
      </c>
    </row>
    <row r="187" spans="1:6" x14ac:dyDescent="0.3">
      <c r="A187" s="2">
        <v>178</v>
      </c>
      <c r="B187" s="3">
        <f t="shared" si="6"/>
        <v>0.19865319865319717</v>
      </c>
      <c r="D187" s="1">
        <f t="shared" si="7"/>
        <v>0</v>
      </c>
      <c r="E187" s="1">
        <f t="shared" si="7"/>
        <v>6.7340067340142251E-3</v>
      </c>
      <c r="F187" s="9">
        <f t="shared" si="7"/>
        <v>0.99326599326598575</v>
      </c>
    </row>
    <row r="188" spans="1:6" x14ac:dyDescent="0.3">
      <c r="A188" s="2">
        <v>179</v>
      </c>
      <c r="B188" s="3">
        <f t="shared" si="6"/>
        <v>0.2053872053872039</v>
      </c>
      <c r="D188" s="1">
        <f t="shared" si="7"/>
        <v>0</v>
      </c>
      <c r="E188" s="1">
        <f t="shared" si="7"/>
        <v>0</v>
      </c>
      <c r="F188" s="9">
        <f t="shared" si="7"/>
        <v>1</v>
      </c>
    </row>
    <row r="189" spans="1:6" x14ac:dyDescent="0.3">
      <c r="A189" s="2">
        <v>180</v>
      </c>
      <c r="B189" s="3">
        <f t="shared" si="6"/>
        <v>0.21212121212121063</v>
      </c>
      <c r="D189" s="1">
        <f t="shared" si="7"/>
        <v>0</v>
      </c>
      <c r="E189" s="1">
        <f t="shared" si="7"/>
        <v>0</v>
      </c>
      <c r="F189" s="9">
        <f t="shared" si="7"/>
        <v>1</v>
      </c>
    </row>
    <row r="190" spans="1:6" x14ac:dyDescent="0.3">
      <c r="A190" s="2">
        <v>181</v>
      </c>
      <c r="B190" s="3">
        <f t="shared" si="6"/>
        <v>0.21885521885521736</v>
      </c>
      <c r="D190" s="1">
        <f t="shared" si="7"/>
        <v>0</v>
      </c>
      <c r="E190" s="1">
        <f t="shared" si="7"/>
        <v>0</v>
      </c>
      <c r="F190" s="9">
        <f t="shared" si="7"/>
        <v>1</v>
      </c>
    </row>
    <row r="191" spans="1:6" x14ac:dyDescent="0.3">
      <c r="A191" s="2">
        <v>182</v>
      </c>
      <c r="B191" s="3">
        <f t="shared" si="6"/>
        <v>0.22558922558922409</v>
      </c>
      <c r="D191" s="1">
        <f t="shared" si="7"/>
        <v>0</v>
      </c>
      <c r="E191" s="1">
        <f t="shared" si="7"/>
        <v>0</v>
      </c>
      <c r="F191" s="9">
        <f t="shared" si="7"/>
        <v>1</v>
      </c>
    </row>
    <row r="192" spans="1:6" x14ac:dyDescent="0.3">
      <c r="A192" s="2">
        <v>183</v>
      </c>
      <c r="B192" s="3">
        <f t="shared" si="6"/>
        <v>0.23232323232323082</v>
      </c>
      <c r="D192" s="1">
        <f t="shared" si="7"/>
        <v>0</v>
      </c>
      <c r="E192" s="1">
        <f t="shared" si="7"/>
        <v>0</v>
      </c>
      <c r="F192" s="9">
        <f t="shared" si="7"/>
        <v>1</v>
      </c>
    </row>
    <row r="193" spans="1:6" x14ac:dyDescent="0.3">
      <c r="A193" s="2">
        <v>184</v>
      </c>
      <c r="B193" s="3">
        <f t="shared" si="6"/>
        <v>0.23905723905723755</v>
      </c>
      <c r="D193" s="1">
        <f t="shared" si="7"/>
        <v>0</v>
      </c>
      <c r="E193" s="1">
        <f t="shared" si="7"/>
        <v>0</v>
      </c>
      <c r="F193" s="9">
        <f t="shared" si="7"/>
        <v>1</v>
      </c>
    </row>
    <row r="194" spans="1:6" x14ac:dyDescent="0.3">
      <c r="A194" s="2">
        <v>185</v>
      </c>
      <c r="B194" s="3">
        <f t="shared" si="6"/>
        <v>0.24579124579124428</v>
      </c>
      <c r="D194" s="1">
        <f t="shared" si="7"/>
        <v>0</v>
      </c>
      <c r="E194" s="1">
        <f t="shared" si="7"/>
        <v>0</v>
      </c>
      <c r="F194" s="9">
        <f t="shared" si="7"/>
        <v>1</v>
      </c>
    </row>
    <row r="195" spans="1:6" x14ac:dyDescent="0.3">
      <c r="A195" s="2">
        <v>186</v>
      </c>
      <c r="B195" s="3">
        <f t="shared" si="6"/>
        <v>0.25252525252525104</v>
      </c>
      <c r="D195" s="1">
        <f t="shared" si="7"/>
        <v>0</v>
      </c>
      <c r="E195" s="1">
        <f t="shared" si="7"/>
        <v>0</v>
      </c>
      <c r="F195" s="9">
        <f t="shared" si="7"/>
        <v>1</v>
      </c>
    </row>
    <row r="196" spans="1:6" x14ac:dyDescent="0.3">
      <c r="A196" s="2">
        <v>187</v>
      </c>
      <c r="B196" s="3">
        <f t="shared" si="6"/>
        <v>0.2592592592592578</v>
      </c>
      <c r="D196" s="1">
        <f t="shared" si="7"/>
        <v>0</v>
      </c>
      <c r="E196" s="1">
        <f t="shared" si="7"/>
        <v>0</v>
      </c>
      <c r="F196" s="9">
        <f t="shared" si="7"/>
        <v>1</v>
      </c>
    </row>
    <row r="197" spans="1:6" x14ac:dyDescent="0.3">
      <c r="A197" s="2">
        <v>188</v>
      </c>
      <c r="B197" s="3">
        <f t="shared" si="6"/>
        <v>0.26599326599326456</v>
      </c>
      <c r="D197" s="1">
        <f t="shared" si="7"/>
        <v>0</v>
      </c>
      <c r="E197" s="1">
        <f t="shared" si="7"/>
        <v>0</v>
      </c>
      <c r="F197" s="9">
        <f t="shared" si="7"/>
        <v>1</v>
      </c>
    </row>
    <row r="198" spans="1:6" x14ac:dyDescent="0.3">
      <c r="A198" s="2">
        <v>189</v>
      </c>
      <c r="B198" s="3">
        <f t="shared" si="6"/>
        <v>0.27272727272727132</v>
      </c>
      <c r="D198" s="1">
        <f t="shared" si="7"/>
        <v>0</v>
      </c>
      <c r="E198" s="1">
        <f t="shared" si="7"/>
        <v>0</v>
      </c>
      <c r="F198" s="9">
        <f t="shared" si="7"/>
        <v>1</v>
      </c>
    </row>
    <row r="199" spans="1:6" x14ac:dyDescent="0.3">
      <c r="A199" s="2">
        <v>190</v>
      </c>
      <c r="B199" s="3">
        <f t="shared" si="6"/>
        <v>0.27946127946127808</v>
      </c>
      <c r="D199" s="1">
        <f t="shared" si="7"/>
        <v>0</v>
      </c>
      <c r="E199" s="1">
        <f t="shared" si="7"/>
        <v>0</v>
      </c>
      <c r="F199" s="9">
        <f t="shared" si="7"/>
        <v>1</v>
      </c>
    </row>
    <row r="200" spans="1:6" x14ac:dyDescent="0.3">
      <c r="A200" s="2">
        <v>191</v>
      </c>
      <c r="B200" s="3">
        <f t="shared" si="6"/>
        <v>0.28619528619528484</v>
      </c>
      <c r="D200" s="1">
        <f t="shared" si="7"/>
        <v>0</v>
      </c>
      <c r="E200" s="1">
        <f t="shared" si="7"/>
        <v>0</v>
      </c>
      <c r="F200" s="9">
        <f t="shared" si="7"/>
        <v>1</v>
      </c>
    </row>
    <row r="201" spans="1:6" x14ac:dyDescent="0.3">
      <c r="A201" s="2">
        <v>192</v>
      </c>
      <c r="B201" s="3">
        <f t="shared" si="6"/>
        <v>0.2929292929292916</v>
      </c>
      <c r="D201" s="1">
        <f t="shared" si="7"/>
        <v>0</v>
      </c>
      <c r="E201" s="1">
        <f t="shared" si="7"/>
        <v>0</v>
      </c>
      <c r="F201" s="9">
        <f t="shared" si="7"/>
        <v>1</v>
      </c>
    </row>
    <row r="202" spans="1:6" x14ac:dyDescent="0.3">
      <c r="A202" s="2">
        <v>193</v>
      </c>
      <c r="B202" s="3">
        <f t="shared" si="6"/>
        <v>0.29966329966329835</v>
      </c>
      <c r="D202" s="1">
        <f t="shared" si="7"/>
        <v>0</v>
      </c>
      <c r="E202" s="1">
        <f t="shared" si="7"/>
        <v>0</v>
      </c>
      <c r="F202" s="9">
        <f t="shared" si="7"/>
        <v>1</v>
      </c>
    </row>
    <row r="203" spans="1:6" x14ac:dyDescent="0.3">
      <c r="A203" s="2">
        <v>194</v>
      </c>
      <c r="B203" s="3">
        <f t="shared" ref="B203:B266" si="8">B202+((B$306-B$9)/297)</f>
        <v>0.30639730639730511</v>
      </c>
      <c r="D203" s="1">
        <f t="shared" si="7"/>
        <v>0</v>
      </c>
      <c r="E203" s="1">
        <f t="shared" si="7"/>
        <v>0</v>
      </c>
      <c r="F203" s="9">
        <f t="shared" si="7"/>
        <v>1</v>
      </c>
    </row>
    <row r="204" spans="1:6" x14ac:dyDescent="0.3">
      <c r="A204" s="2">
        <v>195</v>
      </c>
      <c r="B204" s="3">
        <f t="shared" si="8"/>
        <v>0.31313131313131187</v>
      </c>
      <c r="D204" s="1">
        <f t="shared" si="7"/>
        <v>0</v>
      </c>
      <c r="E204" s="1">
        <f t="shared" si="7"/>
        <v>0</v>
      </c>
      <c r="F204" s="9">
        <f t="shared" si="7"/>
        <v>1</v>
      </c>
    </row>
    <row r="205" spans="1:6" x14ac:dyDescent="0.3">
      <c r="A205" s="2">
        <v>196</v>
      </c>
      <c r="B205" s="3">
        <f t="shared" si="8"/>
        <v>0.31986531986531863</v>
      </c>
      <c r="D205" s="1">
        <f t="shared" si="7"/>
        <v>0</v>
      </c>
      <c r="E205" s="1">
        <f t="shared" si="7"/>
        <v>0</v>
      </c>
      <c r="F205" s="9">
        <f t="shared" si="7"/>
        <v>1</v>
      </c>
    </row>
    <row r="206" spans="1:6" x14ac:dyDescent="0.3">
      <c r="A206" s="2">
        <v>197</v>
      </c>
      <c r="B206" s="3">
        <f t="shared" si="8"/>
        <v>0.32659932659932539</v>
      </c>
      <c r="D206" s="1">
        <f t="shared" si="7"/>
        <v>0</v>
      </c>
      <c r="E206" s="1">
        <f t="shared" si="7"/>
        <v>0</v>
      </c>
      <c r="F206" s="9">
        <f t="shared" si="7"/>
        <v>1</v>
      </c>
    </row>
    <row r="207" spans="1:6" x14ac:dyDescent="0.3">
      <c r="A207" s="2">
        <v>198</v>
      </c>
      <c r="B207" s="3">
        <f t="shared" si="8"/>
        <v>0.33333333333333215</v>
      </c>
      <c r="D207" s="1">
        <f t="shared" si="7"/>
        <v>0</v>
      </c>
      <c r="E207" s="1">
        <f t="shared" si="7"/>
        <v>0</v>
      </c>
      <c r="F207" s="9">
        <f t="shared" si="7"/>
        <v>1</v>
      </c>
    </row>
    <row r="208" spans="1:6" x14ac:dyDescent="0.3">
      <c r="A208" s="2">
        <v>199</v>
      </c>
      <c r="B208" s="3">
        <f t="shared" si="8"/>
        <v>0.34006734006733891</v>
      </c>
      <c r="D208" s="1">
        <f t="shared" si="7"/>
        <v>0</v>
      </c>
      <c r="E208" s="1">
        <f t="shared" si="7"/>
        <v>0</v>
      </c>
      <c r="F208" s="9">
        <f t="shared" si="7"/>
        <v>1</v>
      </c>
    </row>
    <row r="209" spans="1:6" x14ac:dyDescent="0.3">
      <c r="A209" s="2">
        <v>200</v>
      </c>
      <c r="B209" s="3">
        <f t="shared" si="8"/>
        <v>0.34680134680134567</v>
      </c>
      <c r="D209" s="1">
        <f t="shared" si="7"/>
        <v>0</v>
      </c>
      <c r="E209" s="1">
        <f t="shared" si="7"/>
        <v>0</v>
      </c>
      <c r="F209" s="9">
        <f t="shared" si="7"/>
        <v>1</v>
      </c>
    </row>
    <row r="210" spans="1:6" x14ac:dyDescent="0.3">
      <c r="A210" s="2">
        <v>201</v>
      </c>
      <c r="B210" s="3">
        <f t="shared" si="8"/>
        <v>0.35353535353535243</v>
      </c>
      <c r="D210" s="1">
        <f t="shared" si="7"/>
        <v>0</v>
      </c>
      <c r="E210" s="1">
        <f t="shared" si="7"/>
        <v>0</v>
      </c>
      <c r="F210" s="9">
        <f t="shared" si="7"/>
        <v>1</v>
      </c>
    </row>
    <row r="211" spans="1:6" x14ac:dyDescent="0.3">
      <c r="A211" s="2">
        <v>202</v>
      </c>
      <c r="B211" s="3">
        <f t="shared" si="8"/>
        <v>0.36026936026935918</v>
      </c>
      <c r="D211" s="1">
        <f t="shared" si="7"/>
        <v>0</v>
      </c>
      <c r="E211" s="1">
        <f t="shared" si="7"/>
        <v>0</v>
      </c>
      <c r="F211" s="9">
        <f t="shared" si="7"/>
        <v>1</v>
      </c>
    </row>
    <row r="212" spans="1:6" x14ac:dyDescent="0.3">
      <c r="A212" s="2">
        <v>203</v>
      </c>
      <c r="B212" s="3">
        <f t="shared" si="8"/>
        <v>0.36700336700336594</v>
      </c>
      <c r="D212" s="1">
        <f t="shared" si="7"/>
        <v>0</v>
      </c>
      <c r="E212" s="1">
        <f t="shared" si="7"/>
        <v>0</v>
      </c>
      <c r="F212" s="9">
        <f t="shared" si="7"/>
        <v>1</v>
      </c>
    </row>
    <row r="213" spans="1:6" x14ac:dyDescent="0.3">
      <c r="A213" s="2">
        <v>204</v>
      </c>
      <c r="B213" s="3">
        <f t="shared" si="8"/>
        <v>0.3737373737373727</v>
      </c>
      <c r="D213" s="1">
        <f t="shared" si="7"/>
        <v>0</v>
      </c>
      <c r="E213" s="1">
        <f t="shared" si="7"/>
        <v>0</v>
      </c>
      <c r="F213" s="9">
        <f t="shared" si="7"/>
        <v>1</v>
      </c>
    </row>
    <row r="214" spans="1:6" x14ac:dyDescent="0.3">
      <c r="A214" s="2">
        <v>205</v>
      </c>
      <c r="B214" s="3">
        <f t="shared" si="8"/>
        <v>0.38047138047137946</v>
      </c>
      <c r="D214" s="1">
        <f t="shared" ref="D214:F264" si="9">IF($B214&gt;D$5,0,IF($B214&gt;D$4,(D$5-$B214)/(D$5-D$4),IF($B214&gt;D$3,1,IF($B214&gt;D$2,($B214-D$2)/(D$3-D$2),0))))</f>
        <v>0</v>
      </c>
      <c r="E214" s="1">
        <f t="shared" si="9"/>
        <v>0</v>
      </c>
      <c r="F214" s="9">
        <f t="shared" si="9"/>
        <v>1</v>
      </c>
    </row>
    <row r="215" spans="1:6" x14ac:dyDescent="0.3">
      <c r="A215" s="2">
        <v>206</v>
      </c>
      <c r="B215" s="3">
        <f t="shared" si="8"/>
        <v>0.38720538720538622</v>
      </c>
      <c r="D215" s="1">
        <f t="shared" si="9"/>
        <v>0</v>
      </c>
      <c r="E215" s="1">
        <f t="shared" si="9"/>
        <v>0</v>
      </c>
      <c r="F215" s="9">
        <f t="shared" si="9"/>
        <v>1</v>
      </c>
    </row>
    <row r="216" spans="1:6" x14ac:dyDescent="0.3">
      <c r="A216" s="2">
        <v>207</v>
      </c>
      <c r="B216" s="3">
        <f t="shared" si="8"/>
        <v>0.39393939393939298</v>
      </c>
      <c r="D216" s="1">
        <f t="shared" si="9"/>
        <v>0</v>
      </c>
      <c r="E216" s="1">
        <f t="shared" si="9"/>
        <v>0</v>
      </c>
      <c r="F216" s="9">
        <f t="shared" si="9"/>
        <v>1</v>
      </c>
    </row>
    <row r="217" spans="1:6" x14ac:dyDescent="0.3">
      <c r="A217" s="2">
        <v>208</v>
      </c>
      <c r="B217" s="3">
        <f t="shared" si="8"/>
        <v>0.40067340067339974</v>
      </c>
      <c r="D217" s="1">
        <f t="shared" si="9"/>
        <v>0</v>
      </c>
      <c r="E217" s="1">
        <f t="shared" si="9"/>
        <v>0</v>
      </c>
      <c r="F217" s="9">
        <f t="shared" si="9"/>
        <v>1</v>
      </c>
    </row>
    <row r="218" spans="1:6" x14ac:dyDescent="0.3">
      <c r="A218" s="2">
        <v>209</v>
      </c>
      <c r="B218" s="3">
        <f t="shared" si="8"/>
        <v>0.4074074074074065</v>
      </c>
      <c r="D218" s="1">
        <f t="shared" si="9"/>
        <v>0</v>
      </c>
      <c r="E218" s="1">
        <f t="shared" si="9"/>
        <v>0</v>
      </c>
      <c r="F218" s="9">
        <f t="shared" si="9"/>
        <v>1</v>
      </c>
    </row>
    <row r="219" spans="1:6" x14ac:dyDescent="0.3">
      <c r="A219" s="2">
        <v>210</v>
      </c>
      <c r="B219" s="3">
        <f t="shared" si="8"/>
        <v>0.41414141414141326</v>
      </c>
      <c r="D219" s="1">
        <f t="shared" si="9"/>
        <v>0</v>
      </c>
      <c r="E219" s="1">
        <f t="shared" si="9"/>
        <v>0</v>
      </c>
      <c r="F219" s="9">
        <f t="shared" si="9"/>
        <v>1</v>
      </c>
    </row>
    <row r="220" spans="1:6" x14ac:dyDescent="0.3">
      <c r="A220" s="2">
        <v>211</v>
      </c>
      <c r="B220" s="3">
        <f t="shared" si="8"/>
        <v>0.42087542087542001</v>
      </c>
      <c r="D220" s="1">
        <f t="shared" si="9"/>
        <v>0</v>
      </c>
      <c r="E220" s="1">
        <f t="shared" si="9"/>
        <v>0</v>
      </c>
      <c r="F220" s="9">
        <f t="shared" si="9"/>
        <v>1</v>
      </c>
    </row>
    <row r="221" spans="1:6" x14ac:dyDescent="0.3">
      <c r="A221" s="2">
        <v>212</v>
      </c>
      <c r="B221" s="3">
        <f t="shared" si="8"/>
        <v>0.42760942760942677</v>
      </c>
      <c r="D221" s="1">
        <f t="shared" si="9"/>
        <v>0</v>
      </c>
      <c r="E221" s="1">
        <f t="shared" si="9"/>
        <v>0</v>
      </c>
      <c r="F221" s="9">
        <f t="shared" si="9"/>
        <v>1</v>
      </c>
    </row>
    <row r="222" spans="1:6" x14ac:dyDescent="0.3">
      <c r="A222" s="2">
        <v>213</v>
      </c>
      <c r="B222" s="3">
        <f t="shared" si="8"/>
        <v>0.43434343434343353</v>
      </c>
      <c r="D222" s="1">
        <f t="shared" si="9"/>
        <v>0</v>
      </c>
      <c r="E222" s="1">
        <f t="shared" si="9"/>
        <v>0</v>
      </c>
      <c r="F222" s="9">
        <f t="shared" si="9"/>
        <v>1</v>
      </c>
    </row>
    <row r="223" spans="1:6" x14ac:dyDescent="0.3">
      <c r="A223" s="2">
        <v>214</v>
      </c>
      <c r="B223" s="3">
        <f t="shared" si="8"/>
        <v>0.44107744107744029</v>
      </c>
      <c r="D223" s="1">
        <f t="shared" si="9"/>
        <v>0</v>
      </c>
      <c r="E223" s="1">
        <f t="shared" si="9"/>
        <v>0</v>
      </c>
      <c r="F223" s="9">
        <f t="shared" si="9"/>
        <v>1</v>
      </c>
    </row>
    <row r="224" spans="1:6" x14ac:dyDescent="0.3">
      <c r="A224" s="2">
        <v>215</v>
      </c>
      <c r="B224" s="3">
        <f t="shared" si="8"/>
        <v>0.44781144781144705</v>
      </c>
      <c r="D224" s="1">
        <f t="shared" si="9"/>
        <v>0</v>
      </c>
      <c r="E224" s="1">
        <f t="shared" si="9"/>
        <v>0</v>
      </c>
      <c r="F224" s="9">
        <f t="shared" si="9"/>
        <v>1</v>
      </c>
    </row>
    <row r="225" spans="1:6" x14ac:dyDescent="0.3">
      <c r="A225" s="2">
        <v>216</v>
      </c>
      <c r="B225" s="3">
        <f t="shared" si="8"/>
        <v>0.45454545454545381</v>
      </c>
      <c r="D225" s="1">
        <f t="shared" si="9"/>
        <v>0</v>
      </c>
      <c r="E225" s="1">
        <f t="shared" si="9"/>
        <v>0</v>
      </c>
      <c r="F225" s="9">
        <f t="shared" si="9"/>
        <v>1</v>
      </c>
    </row>
    <row r="226" spans="1:6" x14ac:dyDescent="0.3">
      <c r="A226" s="2">
        <v>217</v>
      </c>
      <c r="B226" s="3">
        <f t="shared" si="8"/>
        <v>0.46127946127946057</v>
      </c>
      <c r="D226" s="1">
        <f t="shared" si="9"/>
        <v>0</v>
      </c>
      <c r="E226" s="1">
        <f t="shared" si="9"/>
        <v>0</v>
      </c>
      <c r="F226" s="9">
        <f t="shared" si="9"/>
        <v>1</v>
      </c>
    </row>
    <row r="227" spans="1:6" x14ac:dyDescent="0.3">
      <c r="A227" s="2">
        <v>218</v>
      </c>
      <c r="B227" s="3">
        <f t="shared" si="8"/>
        <v>0.46801346801346733</v>
      </c>
      <c r="D227" s="1">
        <f t="shared" si="9"/>
        <v>0</v>
      </c>
      <c r="E227" s="1">
        <f t="shared" si="9"/>
        <v>0</v>
      </c>
      <c r="F227" s="9">
        <f t="shared" si="9"/>
        <v>1</v>
      </c>
    </row>
    <row r="228" spans="1:6" x14ac:dyDescent="0.3">
      <c r="A228" s="2">
        <v>219</v>
      </c>
      <c r="B228" s="3">
        <f t="shared" si="8"/>
        <v>0.47474747474747409</v>
      </c>
      <c r="D228" s="1">
        <f t="shared" si="9"/>
        <v>0</v>
      </c>
      <c r="E228" s="1">
        <f t="shared" si="9"/>
        <v>0</v>
      </c>
      <c r="F228" s="9">
        <f t="shared" si="9"/>
        <v>1</v>
      </c>
    </row>
    <row r="229" spans="1:6" x14ac:dyDescent="0.3">
      <c r="A229" s="2">
        <v>220</v>
      </c>
      <c r="B229" s="3">
        <f t="shared" si="8"/>
        <v>0.48148148148148084</v>
      </c>
      <c r="D229" s="1">
        <f t="shared" si="9"/>
        <v>0</v>
      </c>
      <c r="E229" s="1">
        <f t="shared" si="9"/>
        <v>0</v>
      </c>
      <c r="F229" s="9">
        <f t="shared" si="9"/>
        <v>1</v>
      </c>
    </row>
    <row r="230" spans="1:6" x14ac:dyDescent="0.3">
      <c r="A230" s="2">
        <v>221</v>
      </c>
      <c r="B230" s="3">
        <f t="shared" si="8"/>
        <v>0.4882154882154876</v>
      </c>
      <c r="D230" s="1">
        <f t="shared" si="9"/>
        <v>0</v>
      </c>
      <c r="E230" s="1">
        <f t="shared" si="9"/>
        <v>0</v>
      </c>
      <c r="F230" s="9">
        <f t="shared" si="9"/>
        <v>1</v>
      </c>
    </row>
    <row r="231" spans="1:6" x14ac:dyDescent="0.3">
      <c r="A231" s="2">
        <v>222</v>
      </c>
      <c r="B231" s="3">
        <f t="shared" si="8"/>
        <v>0.49494949494949436</v>
      </c>
      <c r="D231" s="1">
        <f t="shared" si="9"/>
        <v>0</v>
      </c>
      <c r="E231" s="1">
        <f t="shared" si="9"/>
        <v>0</v>
      </c>
      <c r="F231" s="9">
        <f t="shared" si="9"/>
        <v>1</v>
      </c>
    </row>
    <row r="232" spans="1:6" x14ac:dyDescent="0.3">
      <c r="A232" s="2">
        <v>223</v>
      </c>
      <c r="B232" s="3">
        <f t="shared" si="8"/>
        <v>0.50168350168350107</v>
      </c>
      <c r="D232" s="1">
        <f t="shared" si="9"/>
        <v>0</v>
      </c>
      <c r="E232" s="1">
        <f t="shared" si="9"/>
        <v>0</v>
      </c>
      <c r="F232" s="9">
        <f t="shared" si="9"/>
        <v>1</v>
      </c>
    </row>
    <row r="233" spans="1:6" x14ac:dyDescent="0.3">
      <c r="A233" s="2">
        <v>224</v>
      </c>
      <c r="B233" s="3">
        <f t="shared" si="8"/>
        <v>0.50841750841750777</v>
      </c>
      <c r="D233" s="1">
        <f t="shared" si="9"/>
        <v>0</v>
      </c>
      <c r="E233" s="1">
        <f t="shared" si="9"/>
        <v>0</v>
      </c>
      <c r="F233" s="9">
        <f t="shared" si="9"/>
        <v>1</v>
      </c>
    </row>
    <row r="234" spans="1:6" x14ac:dyDescent="0.3">
      <c r="A234" s="2">
        <v>225</v>
      </c>
      <c r="B234" s="3">
        <f t="shared" si="8"/>
        <v>0.51515151515151447</v>
      </c>
      <c r="D234" s="1">
        <f t="shared" si="9"/>
        <v>0</v>
      </c>
      <c r="E234" s="1">
        <f t="shared" si="9"/>
        <v>0</v>
      </c>
      <c r="F234" s="9">
        <f t="shared" si="9"/>
        <v>1</v>
      </c>
    </row>
    <row r="235" spans="1:6" x14ac:dyDescent="0.3">
      <c r="A235" s="2">
        <v>226</v>
      </c>
      <c r="B235" s="3">
        <f t="shared" si="8"/>
        <v>0.52188552188552118</v>
      </c>
      <c r="D235" s="1">
        <f t="shared" si="9"/>
        <v>0</v>
      </c>
      <c r="E235" s="1">
        <f t="shared" si="9"/>
        <v>0</v>
      </c>
      <c r="F235" s="9">
        <f t="shared" si="9"/>
        <v>1</v>
      </c>
    </row>
    <row r="236" spans="1:6" x14ac:dyDescent="0.3">
      <c r="A236" s="2">
        <v>227</v>
      </c>
      <c r="B236" s="3">
        <f t="shared" si="8"/>
        <v>0.52861952861952788</v>
      </c>
      <c r="D236" s="1">
        <f t="shared" si="9"/>
        <v>0</v>
      </c>
      <c r="E236" s="1">
        <f t="shared" si="9"/>
        <v>0</v>
      </c>
      <c r="F236" s="9">
        <f t="shared" si="9"/>
        <v>1</v>
      </c>
    </row>
    <row r="237" spans="1:6" x14ac:dyDescent="0.3">
      <c r="A237" s="2">
        <v>228</v>
      </c>
      <c r="B237" s="3">
        <f t="shared" si="8"/>
        <v>0.53535353535353458</v>
      </c>
      <c r="D237" s="1">
        <f t="shared" si="9"/>
        <v>0</v>
      </c>
      <c r="E237" s="1">
        <f t="shared" si="9"/>
        <v>0</v>
      </c>
      <c r="F237" s="9">
        <f t="shared" si="9"/>
        <v>1</v>
      </c>
    </row>
    <row r="238" spans="1:6" x14ac:dyDescent="0.3">
      <c r="A238" s="2">
        <v>229</v>
      </c>
      <c r="B238" s="3">
        <f t="shared" si="8"/>
        <v>0.54208754208754129</v>
      </c>
      <c r="D238" s="1">
        <f t="shared" si="9"/>
        <v>0</v>
      </c>
      <c r="E238" s="1">
        <f t="shared" si="9"/>
        <v>0</v>
      </c>
      <c r="F238" s="9">
        <f t="shared" si="9"/>
        <v>1</v>
      </c>
    </row>
    <row r="239" spans="1:6" x14ac:dyDescent="0.3">
      <c r="A239" s="2">
        <v>230</v>
      </c>
      <c r="B239" s="3">
        <f t="shared" si="8"/>
        <v>0.54882154882154799</v>
      </c>
      <c r="D239" s="1">
        <f t="shared" si="9"/>
        <v>0</v>
      </c>
      <c r="E239" s="1">
        <f t="shared" si="9"/>
        <v>0</v>
      </c>
      <c r="F239" s="9">
        <f t="shared" si="9"/>
        <v>1</v>
      </c>
    </row>
    <row r="240" spans="1:6" x14ac:dyDescent="0.3">
      <c r="A240" s="2">
        <v>231</v>
      </c>
      <c r="B240" s="3">
        <f t="shared" si="8"/>
        <v>0.55555555555555469</v>
      </c>
      <c r="D240" s="1">
        <f t="shared" si="9"/>
        <v>0</v>
      </c>
      <c r="E240" s="1">
        <f t="shared" si="9"/>
        <v>0</v>
      </c>
      <c r="F240" s="9">
        <f t="shared" si="9"/>
        <v>1</v>
      </c>
    </row>
    <row r="241" spans="1:6" x14ac:dyDescent="0.3">
      <c r="A241" s="2">
        <v>232</v>
      </c>
      <c r="B241" s="3">
        <f t="shared" si="8"/>
        <v>0.5622895622895614</v>
      </c>
      <c r="D241" s="1">
        <f t="shared" si="9"/>
        <v>0</v>
      </c>
      <c r="E241" s="1">
        <f t="shared" si="9"/>
        <v>0</v>
      </c>
      <c r="F241" s="9">
        <f t="shared" si="9"/>
        <v>1</v>
      </c>
    </row>
    <row r="242" spans="1:6" x14ac:dyDescent="0.3">
      <c r="A242" s="2">
        <v>233</v>
      </c>
      <c r="B242" s="3">
        <f t="shared" si="8"/>
        <v>0.5690235690235681</v>
      </c>
      <c r="D242" s="1">
        <f t="shared" si="9"/>
        <v>0</v>
      </c>
      <c r="E242" s="1">
        <f t="shared" si="9"/>
        <v>0</v>
      </c>
      <c r="F242" s="9">
        <f t="shared" si="9"/>
        <v>1</v>
      </c>
    </row>
    <row r="243" spans="1:6" x14ac:dyDescent="0.3">
      <c r="A243" s="2">
        <v>234</v>
      </c>
      <c r="B243" s="3">
        <f t="shared" si="8"/>
        <v>0.5757575757575748</v>
      </c>
      <c r="D243" s="1">
        <f t="shared" si="9"/>
        <v>0</v>
      </c>
      <c r="E243" s="1">
        <f t="shared" si="9"/>
        <v>0</v>
      </c>
      <c r="F243" s="9">
        <f t="shared" si="9"/>
        <v>1</v>
      </c>
    </row>
    <row r="244" spans="1:6" x14ac:dyDescent="0.3">
      <c r="A244" s="2">
        <v>235</v>
      </c>
      <c r="B244" s="3">
        <f t="shared" si="8"/>
        <v>0.58249158249158151</v>
      </c>
      <c r="D244" s="1">
        <f t="shared" si="9"/>
        <v>0</v>
      </c>
      <c r="E244" s="1">
        <f t="shared" si="9"/>
        <v>0</v>
      </c>
      <c r="F244" s="9">
        <f t="shared" si="9"/>
        <v>1</v>
      </c>
    </row>
    <row r="245" spans="1:6" x14ac:dyDescent="0.3">
      <c r="A245" s="2">
        <v>236</v>
      </c>
      <c r="B245" s="3">
        <f t="shared" si="8"/>
        <v>0.58922558922558821</v>
      </c>
      <c r="D245" s="1">
        <f t="shared" si="9"/>
        <v>0</v>
      </c>
      <c r="E245" s="1">
        <f t="shared" si="9"/>
        <v>0</v>
      </c>
      <c r="F245" s="9">
        <f t="shared" si="9"/>
        <v>1</v>
      </c>
    </row>
    <row r="246" spans="1:6" x14ac:dyDescent="0.3">
      <c r="A246" s="2">
        <v>237</v>
      </c>
      <c r="B246" s="3">
        <f t="shared" si="8"/>
        <v>0.59595959595959491</v>
      </c>
      <c r="D246" s="1">
        <f t="shared" si="9"/>
        <v>0</v>
      </c>
      <c r="E246" s="1">
        <f t="shared" si="9"/>
        <v>0</v>
      </c>
      <c r="F246" s="9">
        <f t="shared" si="9"/>
        <v>1</v>
      </c>
    </row>
    <row r="247" spans="1:6" x14ac:dyDescent="0.3">
      <c r="A247" s="2">
        <v>238</v>
      </c>
      <c r="B247" s="3">
        <f t="shared" si="8"/>
        <v>0.60269360269360162</v>
      </c>
      <c r="D247" s="1">
        <f t="shared" si="9"/>
        <v>0</v>
      </c>
      <c r="E247" s="1">
        <f t="shared" si="9"/>
        <v>0</v>
      </c>
      <c r="F247" s="9">
        <f t="shared" si="9"/>
        <v>1</v>
      </c>
    </row>
    <row r="248" spans="1:6" x14ac:dyDescent="0.3">
      <c r="A248" s="2">
        <v>239</v>
      </c>
      <c r="B248" s="3">
        <f t="shared" si="8"/>
        <v>0.60942760942760832</v>
      </c>
      <c r="D248" s="1">
        <f t="shared" si="9"/>
        <v>0</v>
      </c>
      <c r="E248" s="1">
        <f t="shared" si="9"/>
        <v>0</v>
      </c>
      <c r="F248" s="9">
        <f t="shared" si="9"/>
        <v>1</v>
      </c>
    </row>
    <row r="249" spans="1:6" x14ac:dyDescent="0.3">
      <c r="A249" s="2">
        <v>240</v>
      </c>
      <c r="B249" s="3">
        <f t="shared" si="8"/>
        <v>0.61616161616161502</v>
      </c>
      <c r="D249" s="1">
        <f t="shared" si="9"/>
        <v>0</v>
      </c>
      <c r="E249" s="1">
        <f t="shared" si="9"/>
        <v>0</v>
      </c>
      <c r="F249" s="9">
        <f t="shared" si="9"/>
        <v>1</v>
      </c>
    </row>
    <row r="250" spans="1:6" x14ac:dyDescent="0.3">
      <c r="A250" s="2">
        <v>241</v>
      </c>
      <c r="B250" s="3">
        <f t="shared" si="8"/>
        <v>0.62289562289562173</v>
      </c>
      <c r="D250" s="1">
        <f t="shared" si="9"/>
        <v>0</v>
      </c>
      <c r="E250" s="1">
        <f t="shared" si="9"/>
        <v>0</v>
      </c>
      <c r="F250" s="9">
        <f t="shared" si="9"/>
        <v>1</v>
      </c>
    </row>
    <row r="251" spans="1:6" x14ac:dyDescent="0.3">
      <c r="A251" s="2">
        <v>242</v>
      </c>
      <c r="B251" s="3">
        <f t="shared" si="8"/>
        <v>0.62962962962962843</v>
      </c>
      <c r="D251" s="1">
        <f t="shared" si="9"/>
        <v>0</v>
      </c>
      <c r="E251" s="1">
        <f t="shared" si="9"/>
        <v>0</v>
      </c>
      <c r="F251" s="9">
        <f t="shared" si="9"/>
        <v>1</v>
      </c>
    </row>
    <row r="252" spans="1:6" x14ac:dyDescent="0.3">
      <c r="A252" s="2">
        <v>243</v>
      </c>
      <c r="B252" s="3">
        <f t="shared" si="8"/>
        <v>0.63636363636363513</v>
      </c>
      <c r="D252" s="1">
        <f t="shared" si="9"/>
        <v>0</v>
      </c>
      <c r="E252" s="1">
        <f t="shared" si="9"/>
        <v>0</v>
      </c>
      <c r="F252" s="9">
        <f t="shared" si="9"/>
        <v>1</v>
      </c>
    </row>
    <row r="253" spans="1:6" x14ac:dyDescent="0.3">
      <c r="A253" s="2">
        <v>244</v>
      </c>
      <c r="B253" s="3">
        <f t="shared" si="8"/>
        <v>0.64309764309764184</v>
      </c>
      <c r="D253" s="1">
        <f t="shared" si="9"/>
        <v>0</v>
      </c>
      <c r="E253" s="1">
        <f t="shared" si="9"/>
        <v>0</v>
      </c>
      <c r="F253" s="9">
        <f t="shared" si="9"/>
        <v>1</v>
      </c>
    </row>
    <row r="254" spans="1:6" x14ac:dyDescent="0.3">
      <c r="A254" s="2">
        <v>245</v>
      </c>
      <c r="B254" s="3">
        <f t="shared" si="8"/>
        <v>0.64983164983164854</v>
      </c>
      <c r="D254" s="1">
        <f t="shared" si="9"/>
        <v>0</v>
      </c>
      <c r="E254" s="1">
        <f t="shared" si="9"/>
        <v>0</v>
      </c>
      <c r="F254" s="9">
        <f t="shared" si="9"/>
        <v>1</v>
      </c>
    </row>
    <row r="255" spans="1:6" x14ac:dyDescent="0.3">
      <c r="A255" s="2">
        <v>246</v>
      </c>
      <c r="B255" s="3">
        <f t="shared" si="8"/>
        <v>0.65656565656565524</v>
      </c>
      <c r="D255" s="1">
        <f t="shared" si="9"/>
        <v>0</v>
      </c>
      <c r="E255" s="1">
        <f t="shared" si="9"/>
        <v>0</v>
      </c>
      <c r="F255" s="9">
        <f t="shared" si="9"/>
        <v>1</v>
      </c>
    </row>
    <row r="256" spans="1:6" x14ac:dyDescent="0.3">
      <c r="A256" s="2">
        <v>247</v>
      </c>
      <c r="B256" s="3">
        <f t="shared" si="8"/>
        <v>0.66329966329966195</v>
      </c>
      <c r="D256" s="1">
        <f t="shared" si="9"/>
        <v>0</v>
      </c>
      <c r="E256" s="1">
        <f t="shared" si="9"/>
        <v>0</v>
      </c>
      <c r="F256" s="9">
        <f t="shared" si="9"/>
        <v>1</v>
      </c>
    </row>
    <row r="257" spans="1:6" x14ac:dyDescent="0.3">
      <c r="A257" s="2">
        <v>248</v>
      </c>
      <c r="B257" s="3">
        <f t="shared" si="8"/>
        <v>0.67003367003366865</v>
      </c>
      <c r="D257" s="1">
        <f t="shared" si="9"/>
        <v>0</v>
      </c>
      <c r="E257" s="1">
        <f t="shared" si="9"/>
        <v>0</v>
      </c>
      <c r="F257" s="9">
        <f t="shared" si="9"/>
        <v>1</v>
      </c>
    </row>
    <row r="258" spans="1:6" x14ac:dyDescent="0.3">
      <c r="A258" s="2">
        <v>249</v>
      </c>
      <c r="B258" s="3">
        <f t="shared" si="8"/>
        <v>0.67676767676767535</v>
      </c>
      <c r="D258" s="1">
        <f t="shared" si="9"/>
        <v>0</v>
      </c>
      <c r="E258" s="1">
        <f t="shared" si="9"/>
        <v>0</v>
      </c>
      <c r="F258" s="9">
        <f t="shared" si="9"/>
        <v>1</v>
      </c>
    </row>
    <row r="259" spans="1:6" x14ac:dyDescent="0.3">
      <c r="A259" s="2">
        <v>250</v>
      </c>
      <c r="B259" s="3">
        <f t="shared" si="8"/>
        <v>0.68350168350168206</v>
      </c>
      <c r="D259" s="1">
        <f t="shared" si="9"/>
        <v>0</v>
      </c>
      <c r="E259" s="1">
        <f t="shared" si="9"/>
        <v>0</v>
      </c>
      <c r="F259" s="9">
        <f t="shared" si="9"/>
        <v>1</v>
      </c>
    </row>
    <row r="260" spans="1:6" x14ac:dyDescent="0.3">
      <c r="A260" s="2">
        <v>251</v>
      </c>
      <c r="B260" s="3">
        <f t="shared" si="8"/>
        <v>0.69023569023568876</v>
      </c>
      <c r="D260" s="1">
        <f t="shared" si="9"/>
        <v>0</v>
      </c>
      <c r="E260" s="1">
        <f t="shared" si="9"/>
        <v>0</v>
      </c>
      <c r="F260" s="9">
        <f t="shared" si="9"/>
        <v>1</v>
      </c>
    </row>
    <row r="261" spans="1:6" x14ac:dyDescent="0.3">
      <c r="A261" s="2">
        <v>252</v>
      </c>
      <c r="B261" s="3">
        <f t="shared" si="8"/>
        <v>0.69696969696969546</v>
      </c>
      <c r="D261" s="1">
        <f t="shared" si="9"/>
        <v>0</v>
      </c>
      <c r="E261" s="1">
        <f t="shared" si="9"/>
        <v>0</v>
      </c>
      <c r="F261" s="9">
        <f t="shared" si="9"/>
        <v>1</v>
      </c>
    </row>
    <row r="262" spans="1:6" x14ac:dyDescent="0.3">
      <c r="A262" s="2">
        <v>253</v>
      </c>
      <c r="B262" s="3">
        <f t="shared" si="8"/>
        <v>0.70370370370370217</v>
      </c>
      <c r="D262" s="1">
        <f t="shared" si="9"/>
        <v>0</v>
      </c>
      <c r="E262" s="1">
        <f t="shared" si="9"/>
        <v>0</v>
      </c>
      <c r="F262" s="9">
        <f t="shared" si="9"/>
        <v>1</v>
      </c>
    </row>
    <row r="263" spans="1:6" x14ac:dyDescent="0.3">
      <c r="A263" s="2">
        <v>254</v>
      </c>
      <c r="B263" s="3">
        <f t="shared" si="8"/>
        <v>0.71043771043770887</v>
      </c>
      <c r="D263" s="1">
        <f t="shared" si="9"/>
        <v>0</v>
      </c>
      <c r="E263" s="1">
        <f t="shared" si="9"/>
        <v>0</v>
      </c>
      <c r="F263" s="9">
        <f t="shared" si="9"/>
        <v>1</v>
      </c>
    </row>
    <row r="264" spans="1:6" x14ac:dyDescent="0.3">
      <c r="A264" s="2">
        <v>255</v>
      </c>
      <c r="B264" s="3">
        <f t="shared" si="8"/>
        <v>0.71717171717171557</v>
      </c>
      <c r="D264" s="1">
        <f t="shared" si="9"/>
        <v>0</v>
      </c>
      <c r="E264" s="1">
        <f t="shared" si="9"/>
        <v>0</v>
      </c>
      <c r="F264" s="9">
        <f t="shared" si="9"/>
        <v>1</v>
      </c>
    </row>
    <row r="265" spans="1:6" x14ac:dyDescent="0.3">
      <c r="A265" s="2">
        <v>256</v>
      </c>
      <c r="B265" s="3">
        <f t="shared" si="8"/>
        <v>0.72390572390572228</v>
      </c>
      <c r="D265" s="1">
        <f t="shared" ref="D265:F306" si="10">IF($B265&gt;D$5,0,IF($B265&gt;D$4,(D$5-$B265)/(D$5-D$4),IF($B265&gt;D$3,1,IF($B265&gt;D$2,($B265-D$2)/(D$3-D$2),0))))</f>
        <v>0</v>
      </c>
      <c r="E265" s="1">
        <f t="shared" si="10"/>
        <v>0</v>
      </c>
      <c r="F265" s="9">
        <f t="shared" si="10"/>
        <v>1</v>
      </c>
    </row>
    <row r="266" spans="1:6" x14ac:dyDescent="0.3">
      <c r="A266" s="2">
        <v>257</v>
      </c>
      <c r="B266" s="3">
        <f t="shared" si="8"/>
        <v>0.73063973063972898</v>
      </c>
      <c r="D266" s="1">
        <f t="shared" si="10"/>
        <v>0</v>
      </c>
      <c r="E266" s="1">
        <f t="shared" si="10"/>
        <v>0</v>
      </c>
      <c r="F266" s="9">
        <f t="shared" si="10"/>
        <v>1</v>
      </c>
    </row>
    <row r="267" spans="1:6" x14ac:dyDescent="0.3">
      <c r="A267" s="2">
        <v>258</v>
      </c>
      <c r="B267" s="3">
        <f t="shared" ref="B267:B305" si="11">B266+((B$306-B$9)/297)</f>
        <v>0.73737373737373568</v>
      </c>
      <c r="D267" s="1">
        <f t="shared" si="10"/>
        <v>0</v>
      </c>
      <c r="E267" s="1">
        <f t="shared" si="10"/>
        <v>0</v>
      </c>
      <c r="F267" s="9">
        <f t="shared" si="10"/>
        <v>1</v>
      </c>
    </row>
    <row r="268" spans="1:6" x14ac:dyDescent="0.3">
      <c r="A268" s="2">
        <v>259</v>
      </c>
      <c r="B268" s="3">
        <f t="shared" si="11"/>
        <v>0.74410774410774239</v>
      </c>
      <c r="D268" s="1">
        <f t="shared" si="10"/>
        <v>0</v>
      </c>
      <c r="E268" s="1">
        <f t="shared" si="10"/>
        <v>0</v>
      </c>
      <c r="F268" s="9">
        <f t="shared" si="10"/>
        <v>1</v>
      </c>
    </row>
    <row r="269" spans="1:6" x14ac:dyDescent="0.3">
      <c r="A269" s="2">
        <v>260</v>
      </c>
      <c r="B269" s="3">
        <f t="shared" si="11"/>
        <v>0.75084175084174909</v>
      </c>
      <c r="D269" s="1">
        <f t="shared" si="10"/>
        <v>0</v>
      </c>
      <c r="E269" s="1">
        <f t="shared" si="10"/>
        <v>0</v>
      </c>
      <c r="F269" s="9">
        <f t="shared" si="10"/>
        <v>1</v>
      </c>
    </row>
    <row r="270" spans="1:6" x14ac:dyDescent="0.3">
      <c r="A270" s="2">
        <v>261</v>
      </c>
      <c r="B270" s="3">
        <f t="shared" si="11"/>
        <v>0.75757575757575579</v>
      </c>
      <c r="D270" s="1">
        <f t="shared" si="10"/>
        <v>0</v>
      </c>
      <c r="E270" s="1">
        <f t="shared" si="10"/>
        <v>0</v>
      </c>
      <c r="F270" s="9">
        <f t="shared" si="10"/>
        <v>1</v>
      </c>
    </row>
    <row r="271" spans="1:6" x14ac:dyDescent="0.3">
      <c r="A271" s="2">
        <v>262</v>
      </c>
      <c r="B271" s="3">
        <f t="shared" si="11"/>
        <v>0.7643097643097625</v>
      </c>
      <c r="D271" s="1">
        <f t="shared" si="10"/>
        <v>0</v>
      </c>
      <c r="E271" s="1">
        <f t="shared" si="10"/>
        <v>0</v>
      </c>
      <c r="F271" s="9">
        <f t="shared" si="10"/>
        <v>1</v>
      </c>
    </row>
    <row r="272" spans="1:6" x14ac:dyDescent="0.3">
      <c r="A272" s="2">
        <v>263</v>
      </c>
      <c r="B272" s="3">
        <f t="shared" si="11"/>
        <v>0.7710437710437692</v>
      </c>
      <c r="D272" s="1">
        <f t="shared" si="10"/>
        <v>0</v>
      </c>
      <c r="E272" s="1">
        <f t="shared" si="10"/>
        <v>0</v>
      </c>
      <c r="F272" s="9">
        <f t="shared" si="10"/>
        <v>1</v>
      </c>
    </row>
    <row r="273" spans="1:6" x14ac:dyDescent="0.3">
      <c r="A273" s="2">
        <v>264</v>
      </c>
      <c r="B273" s="3">
        <f t="shared" si="11"/>
        <v>0.7777777777777759</v>
      </c>
      <c r="D273" s="1">
        <f t="shared" si="10"/>
        <v>0</v>
      </c>
      <c r="E273" s="1">
        <f t="shared" si="10"/>
        <v>0</v>
      </c>
      <c r="F273" s="9">
        <f t="shared" si="10"/>
        <v>1</v>
      </c>
    </row>
    <row r="274" spans="1:6" x14ac:dyDescent="0.3">
      <c r="A274" s="2">
        <v>265</v>
      </c>
      <c r="B274" s="3">
        <f t="shared" si="11"/>
        <v>0.78451178451178261</v>
      </c>
      <c r="D274" s="1">
        <f t="shared" si="10"/>
        <v>0</v>
      </c>
      <c r="E274" s="1">
        <f t="shared" si="10"/>
        <v>0</v>
      </c>
      <c r="F274" s="9">
        <f t="shared" si="10"/>
        <v>1</v>
      </c>
    </row>
    <row r="275" spans="1:6" x14ac:dyDescent="0.3">
      <c r="A275" s="2">
        <v>266</v>
      </c>
      <c r="B275" s="3">
        <f t="shared" si="11"/>
        <v>0.79124579124578931</v>
      </c>
      <c r="D275" s="1">
        <f t="shared" si="10"/>
        <v>0</v>
      </c>
      <c r="E275" s="1">
        <f t="shared" si="10"/>
        <v>0</v>
      </c>
      <c r="F275" s="9">
        <f t="shared" si="10"/>
        <v>1</v>
      </c>
    </row>
    <row r="276" spans="1:6" x14ac:dyDescent="0.3">
      <c r="A276" s="2">
        <v>267</v>
      </c>
      <c r="B276" s="3">
        <f t="shared" si="11"/>
        <v>0.79797979797979601</v>
      </c>
      <c r="D276" s="1">
        <f t="shared" si="10"/>
        <v>0</v>
      </c>
      <c r="E276" s="1">
        <f t="shared" si="10"/>
        <v>0</v>
      </c>
      <c r="F276" s="9">
        <f t="shared" si="10"/>
        <v>1</v>
      </c>
    </row>
    <row r="277" spans="1:6" x14ac:dyDescent="0.3">
      <c r="A277" s="2">
        <v>268</v>
      </c>
      <c r="B277" s="3">
        <f t="shared" si="11"/>
        <v>0.80471380471380272</v>
      </c>
      <c r="D277" s="1">
        <f t="shared" si="10"/>
        <v>0</v>
      </c>
      <c r="E277" s="1">
        <f t="shared" si="10"/>
        <v>0</v>
      </c>
      <c r="F277" s="9">
        <f t="shared" si="10"/>
        <v>1</v>
      </c>
    </row>
    <row r="278" spans="1:6" x14ac:dyDescent="0.3">
      <c r="A278" s="2">
        <v>269</v>
      </c>
      <c r="B278" s="3">
        <f t="shared" si="11"/>
        <v>0.81144781144780942</v>
      </c>
      <c r="D278" s="1">
        <f t="shared" si="10"/>
        <v>0</v>
      </c>
      <c r="E278" s="1">
        <f t="shared" si="10"/>
        <v>0</v>
      </c>
      <c r="F278" s="9">
        <f t="shared" si="10"/>
        <v>1</v>
      </c>
    </row>
    <row r="279" spans="1:6" x14ac:dyDescent="0.3">
      <c r="A279" s="2">
        <v>270</v>
      </c>
      <c r="B279" s="3">
        <f t="shared" si="11"/>
        <v>0.81818181818181612</v>
      </c>
      <c r="D279" s="1">
        <f t="shared" si="10"/>
        <v>0</v>
      </c>
      <c r="E279" s="1">
        <f t="shared" si="10"/>
        <v>0</v>
      </c>
      <c r="F279" s="9">
        <f t="shared" si="10"/>
        <v>1</v>
      </c>
    </row>
    <row r="280" spans="1:6" x14ac:dyDescent="0.3">
      <c r="A280" s="2">
        <v>271</v>
      </c>
      <c r="B280" s="3">
        <f t="shared" si="11"/>
        <v>0.82491582491582283</v>
      </c>
      <c r="D280" s="1">
        <f t="shared" si="10"/>
        <v>0</v>
      </c>
      <c r="E280" s="1">
        <f t="shared" si="10"/>
        <v>0</v>
      </c>
      <c r="F280" s="9">
        <f t="shared" si="10"/>
        <v>1</v>
      </c>
    </row>
    <row r="281" spans="1:6" x14ac:dyDescent="0.3">
      <c r="A281" s="2">
        <v>272</v>
      </c>
      <c r="B281" s="3">
        <f t="shared" si="11"/>
        <v>0.83164983164982953</v>
      </c>
      <c r="D281" s="1">
        <f t="shared" si="10"/>
        <v>0</v>
      </c>
      <c r="E281" s="1">
        <f t="shared" si="10"/>
        <v>0</v>
      </c>
      <c r="F281" s="9">
        <f t="shared" si="10"/>
        <v>1</v>
      </c>
    </row>
    <row r="282" spans="1:6" x14ac:dyDescent="0.3">
      <c r="A282" s="2">
        <v>273</v>
      </c>
      <c r="B282" s="3">
        <f t="shared" si="11"/>
        <v>0.83838383838383623</v>
      </c>
      <c r="D282" s="1">
        <f t="shared" si="10"/>
        <v>0</v>
      </c>
      <c r="E282" s="1">
        <f t="shared" si="10"/>
        <v>0</v>
      </c>
      <c r="F282" s="9">
        <f t="shared" si="10"/>
        <v>1</v>
      </c>
    </row>
    <row r="283" spans="1:6" x14ac:dyDescent="0.3">
      <c r="A283" s="2">
        <v>274</v>
      </c>
      <c r="B283" s="3">
        <f t="shared" si="11"/>
        <v>0.84511784511784294</v>
      </c>
      <c r="D283" s="1">
        <f t="shared" si="10"/>
        <v>0</v>
      </c>
      <c r="E283" s="1">
        <f t="shared" si="10"/>
        <v>0</v>
      </c>
      <c r="F283" s="9">
        <f t="shared" si="10"/>
        <v>1</v>
      </c>
    </row>
    <row r="284" spans="1:6" x14ac:dyDescent="0.3">
      <c r="A284" s="2">
        <v>275</v>
      </c>
      <c r="B284" s="3">
        <f t="shared" si="11"/>
        <v>0.85185185185184964</v>
      </c>
      <c r="D284" s="1">
        <f t="shared" si="10"/>
        <v>0</v>
      </c>
      <c r="E284" s="1">
        <f t="shared" si="10"/>
        <v>0</v>
      </c>
      <c r="F284" s="9">
        <f t="shared" si="10"/>
        <v>1</v>
      </c>
    </row>
    <row r="285" spans="1:6" x14ac:dyDescent="0.3">
      <c r="A285" s="2">
        <v>276</v>
      </c>
      <c r="B285" s="3">
        <f t="shared" si="11"/>
        <v>0.85858585858585634</v>
      </c>
      <c r="D285" s="1">
        <f t="shared" si="10"/>
        <v>0</v>
      </c>
      <c r="E285" s="1">
        <f t="shared" si="10"/>
        <v>0</v>
      </c>
      <c r="F285" s="9">
        <f t="shared" si="10"/>
        <v>1</v>
      </c>
    </row>
    <row r="286" spans="1:6" x14ac:dyDescent="0.3">
      <c r="A286" s="2">
        <v>277</v>
      </c>
      <c r="B286" s="3">
        <f t="shared" si="11"/>
        <v>0.86531986531986305</v>
      </c>
      <c r="D286" s="1">
        <f t="shared" si="10"/>
        <v>0</v>
      </c>
      <c r="E286" s="1">
        <f t="shared" si="10"/>
        <v>0</v>
      </c>
      <c r="F286" s="9">
        <f t="shared" si="10"/>
        <v>1</v>
      </c>
    </row>
    <row r="287" spans="1:6" x14ac:dyDescent="0.3">
      <c r="A287" s="2">
        <v>278</v>
      </c>
      <c r="B287" s="3">
        <f t="shared" si="11"/>
        <v>0.87205387205386975</v>
      </c>
      <c r="D287" s="1">
        <f t="shared" si="10"/>
        <v>0</v>
      </c>
      <c r="E287" s="1">
        <f t="shared" si="10"/>
        <v>0</v>
      </c>
      <c r="F287" s="9">
        <f t="shared" si="10"/>
        <v>1</v>
      </c>
    </row>
    <row r="288" spans="1:6" x14ac:dyDescent="0.3">
      <c r="A288" s="2">
        <v>279</v>
      </c>
      <c r="B288" s="3">
        <f t="shared" si="11"/>
        <v>0.87878787878787645</v>
      </c>
      <c r="D288" s="1">
        <f t="shared" si="10"/>
        <v>0</v>
      </c>
      <c r="E288" s="1">
        <f t="shared" si="10"/>
        <v>0</v>
      </c>
      <c r="F288" s="9">
        <f t="shared" si="10"/>
        <v>1</v>
      </c>
    </row>
    <row r="289" spans="1:6" x14ac:dyDescent="0.3">
      <c r="A289" s="2">
        <v>280</v>
      </c>
      <c r="B289" s="3">
        <f t="shared" si="11"/>
        <v>0.88552188552188316</v>
      </c>
      <c r="D289" s="1">
        <f t="shared" si="10"/>
        <v>0</v>
      </c>
      <c r="E289" s="1">
        <f t="shared" si="10"/>
        <v>0</v>
      </c>
      <c r="F289" s="9">
        <f t="shared" si="10"/>
        <v>1</v>
      </c>
    </row>
    <row r="290" spans="1:6" x14ac:dyDescent="0.3">
      <c r="A290" s="2">
        <v>281</v>
      </c>
      <c r="B290" s="3">
        <f t="shared" si="11"/>
        <v>0.89225589225588986</v>
      </c>
      <c r="D290" s="1">
        <f t="shared" si="10"/>
        <v>0</v>
      </c>
      <c r="E290" s="1">
        <f t="shared" si="10"/>
        <v>0</v>
      </c>
      <c r="F290" s="9">
        <f t="shared" si="10"/>
        <v>1</v>
      </c>
    </row>
    <row r="291" spans="1:6" x14ac:dyDescent="0.3">
      <c r="A291" s="2">
        <v>282</v>
      </c>
      <c r="B291" s="3">
        <f t="shared" si="11"/>
        <v>0.89898989898989656</v>
      </c>
      <c r="D291" s="1">
        <f t="shared" si="10"/>
        <v>0</v>
      </c>
      <c r="E291" s="1">
        <f t="shared" si="10"/>
        <v>0</v>
      </c>
      <c r="F291" s="9">
        <f t="shared" si="10"/>
        <v>1</v>
      </c>
    </row>
    <row r="292" spans="1:6" x14ac:dyDescent="0.3">
      <c r="A292" s="2">
        <v>283</v>
      </c>
      <c r="B292" s="3">
        <f t="shared" si="11"/>
        <v>0.90572390572390327</v>
      </c>
      <c r="D292" s="1">
        <f t="shared" si="10"/>
        <v>0</v>
      </c>
      <c r="E292" s="1">
        <f t="shared" si="10"/>
        <v>0</v>
      </c>
      <c r="F292" s="9">
        <f t="shared" si="10"/>
        <v>1</v>
      </c>
    </row>
    <row r="293" spans="1:6" x14ac:dyDescent="0.3">
      <c r="A293" s="2">
        <v>284</v>
      </c>
      <c r="B293" s="3">
        <f t="shared" si="11"/>
        <v>0.91245791245790997</v>
      </c>
      <c r="D293" s="1">
        <f t="shared" si="10"/>
        <v>0</v>
      </c>
      <c r="E293" s="1">
        <f t="shared" si="10"/>
        <v>0</v>
      </c>
      <c r="F293" s="9">
        <f t="shared" si="10"/>
        <v>1</v>
      </c>
    </row>
    <row r="294" spans="1:6" x14ac:dyDescent="0.3">
      <c r="A294" s="2">
        <v>285</v>
      </c>
      <c r="B294" s="3">
        <f t="shared" si="11"/>
        <v>0.91919191919191667</v>
      </c>
      <c r="D294" s="1">
        <f t="shared" si="10"/>
        <v>0</v>
      </c>
      <c r="E294" s="1">
        <f t="shared" si="10"/>
        <v>0</v>
      </c>
      <c r="F294" s="9">
        <f t="shared" si="10"/>
        <v>1</v>
      </c>
    </row>
    <row r="295" spans="1:6" x14ac:dyDescent="0.3">
      <c r="A295" s="2">
        <v>286</v>
      </c>
      <c r="B295" s="3">
        <f t="shared" si="11"/>
        <v>0.92592592592592338</v>
      </c>
      <c r="D295" s="1">
        <f t="shared" si="10"/>
        <v>0</v>
      </c>
      <c r="E295" s="1">
        <f t="shared" si="10"/>
        <v>0</v>
      </c>
      <c r="F295" s="9">
        <f t="shared" si="10"/>
        <v>1</v>
      </c>
    </row>
    <row r="296" spans="1:6" x14ac:dyDescent="0.3">
      <c r="A296" s="2">
        <v>287</v>
      </c>
      <c r="B296" s="3">
        <f t="shared" si="11"/>
        <v>0.93265993265993008</v>
      </c>
      <c r="D296" s="1">
        <f t="shared" si="10"/>
        <v>0</v>
      </c>
      <c r="E296" s="1">
        <f t="shared" si="10"/>
        <v>0</v>
      </c>
      <c r="F296" s="9">
        <f t="shared" si="10"/>
        <v>1</v>
      </c>
    </row>
    <row r="297" spans="1:6" x14ac:dyDescent="0.3">
      <c r="A297" s="2">
        <v>288</v>
      </c>
      <c r="B297" s="3">
        <f t="shared" si="11"/>
        <v>0.93939393939393678</v>
      </c>
      <c r="D297" s="1">
        <f t="shared" si="10"/>
        <v>0</v>
      </c>
      <c r="E297" s="1">
        <f t="shared" si="10"/>
        <v>0</v>
      </c>
      <c r="F297" s="9">
        <f t="shared" si="10"/>
        <v>1</v>
      </c>
    </row>
    <row r="298" spans="1:6" x14ac:dyDescent="0.3">
      <c r="A298" s="2">
        <v>289</v>
      </c>
      <c r="B298" s="3">
        <f t="shared" si="11"/>
        <v>0.94612794612794349</v>
      </c>
      <c r="D298" s="1">
        <f t="shared" si="10"/>
        <v>0</v>
      </c>
      <c r="E298" s="1">
        <f t="shared" si="10"/>
        <v>0</v>
      </c>
      <c r="F298" s="9">
        <f t="shared" si="10"/>
        <v>1</v>
      </c>
    </row>
    <row r="299" spans="1:6" x14ac:dyDescent="0.3">
      <c r="A299" s="2">
        <v>290</v>
      </c>
      <c r="B299" s="3">
        <f t="shared" si="11"/>
        <v>0.95286195286195019</v>
      </c>
      <c r="D299" s="1">
        <f t="shared" si="10"/>
        <v>0</v>
      </c>
      <c r="E299" s="1">
        <f t="shared" si="10"/>
        <v>0</v>
      </c>
      <c r="F299" s="9">
        <f t="shared" si="10"/>
        <v>1</v>
      </c>
    </row>
    <row r="300" spans="1:6" x14ac:dyDescent="0.3">
      <c r="A300" s="2">
        <v>291</v>
      </c>
      <c r="B300" s="3">
        <f t="shared" si="11"/>
        <v>0.95959595959595689</v>
      </c>
      <c r="D300" s="1">
        <f t="shared" si="10"/>
        <v>0</v>
      </c>
      <c r="E300" s="1">
        <f t="shared" si="10"/>
        <v>0</v>
      </c>
      <c r="F300" s="9">
        <f t="shared" si="10"/>
        <v>1</v>
      </c>
    </row>
    <row r="301" spans="1:6" x14ac:dyDescent="0.3">
      <c r="A301" s="2">
        <v>292</v>
      </c>
      <c r="B301" s="3">
        <f t="shared" si="11"/>
        <v>0.9663299663299636</v>
      </c>
      <c r="D301" s="1">
        <f t="shared" si="10"/>
        <v>0</v>
      </c>
      <c r="E301" s="1">
        <f t="shared" si="10"/>
        <v>0</v>
      </c>
      <c r="F301" s="9">
        <f t="shared" si="10"/>
        <v>1</v>
      </c>
    </row>
    <row r="302" spans="1:6" x14ac:dyDescent="0.3">
      <c r="A302" s="2">
        <v>293</v>
      </c>
      <c r="B302" s="3">
        <f t="shared" si="11"/>
        <v>0.9730639730639703</v>
      </c>
      <c r="D302" s="1">
        <f t="shared" si="10"/>
        <v>0</v>
      </c>
      <c r="E302" s="1">
        <f t="shared" si="10"/>
        <v>0</v>
      </c>
      <c r="F302" s="9">
        <f t="shared" si="10"/>
        <v>1</v>
      </c>
    </row>
    <row r="303" spans="1:6" x14ac:dyDescent="0.3">
      <c r="A303" s="2">
        <v>294</v>
      </c>
      <c r="B303" s="3">
        <f t="shared" si="11"/>
        <v>0.979797979797977</v>
      </c>
      <c r="D303" s="1">
        <f t="shared" si="10"/>
        <v>0</v>
      </c>
      <c r="E303" s="1">
        <f t="shared" si="10"/>
        <v>0</v>
      </c>
      <c r="F303" s="9">
        <f t="shared" si="10"/>
        <v>1</v>
      </c>
    </row>
    <row r="304" spans="1:6" x14ac:dyDescent="0.3">
      <c r="A304" s="2">
        <v>295</v>
      </c>
      <c r="B304" s="3">
        <f t="shared" si="11"/>
        <v>0.98653198653198371</v>
      </c>
      <c r="D304" s="1">
        <f t="shared" si="10"/>
        <v>0</v>
      </c>
      <c r="E304" s="1">
        <f t="shared" si="10"/>
        <v>0</v>
      </c>
      <c r="F304" s="9">
        <f t="shared" si="10"/>
        <v>1</v>
      </c>
    </row>
    <row r="305" spans="1:6" x14ac:dyDescent="0.3">
      <c r="A305" s="2">
        <v>296</v>
      </c>
      <c r="B305" s="3">
        <f t="shared" si="11"/>
        <v>0.99326599326599041</v>
      </c>
      <c r="D305" s="1">
        <f t="shared" si="10"/>
        <v>0</v>
      </c>
      <c r="E305" s="1">
        <f t="shared" si="10"/>
        <v>0</v>
      </c>
      <c r="F305" s="9">
        <f t="shared" si="10"/>
        <v>1</v>
      </c>
    </row>
    <row r="306" spans="1:6" x14ac:dyDescent="0.3">
      <c r="A306" s="2">
        <v>297</v>
      </c>
      <c r="B306" s="1">
        <v>1</v>
      </c>
      <c r="D306" s="1">
        <f t="shared" si="10"/>
        <v>0</v>
      </c>
      <c r="E306" s="1">
        <f t="shared" si="10"/>
        <v>0</v>
      </c>
      <c r="F306" s="9">
        <f t="shared" si="10"/>
        <v>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Q306"/>
  <sheetViews>
    <sheetView topLeftCell="A14" zoomScaleNormal="100" workbookViewId="0">
      <selection activeCell="Q26" sqref="Q26:Q36"/>
    </sheetView>
  </sheetViews>
  <sheetFormatPr baseColWidth="10" defaultColWidth="11.44140625" defaultRowHeight="14.4" x14ac:dyDescent="0.3"/>
  <cols>
    <col min="1" max="1" width="11.44140625" style="1"/>
    <col min="2" max="2" width="11.44140625" style="1" customWidth="1"/>
    <col min="3" max="16384" width="11.44140625" style="1"/>
  </cols>
  <sheetData>
    <row r="2" spans="1:14" x14ac:dyDescent="0.3">
      <c r="C2" s="1" t="s">
        <v>0</v>
      </c>
      <c r="D2" s="1">
        <v>-102</v>
      </c>
      <c r="E2" s="1">
        <v>-90</v>
      </c>
      <c r="F2" s="1">
        <v>-80</v>
      </c>
      <c r="G2" s="1">
        <v>-40</v>
      </c>
      <c r="H2" s="1">
        <v>-30</v>
      </c>
      <c r="I2" s="1">
        <v>-10</v>
      </c>
      <c r="J2" s="1">
        <v>10</v>
      </c>
      <c r="K2" s="1">
        <v>30</v>
      </c>
      <c r="L2" s="1">
        <v>50</v>
      </c>
      <c r="M2" s="1">
        <v>60</v>
      </c>
      <c r="N2" s="1">
        <v>80</v>
      </c>
    </row>
    <row r="3" spans="1:14" x14ac:dyDescent="0.3">
      <c r="C3" s="1" t="s">
        <v>1</v>
      </c>
      <c r="D3" s="1">
        <v>-101</v>
      </c>
      <c r="E3" s="1">
        <v>-80</v>
      </c>
      <c r="F3" s="1">
        <v>-40</v>
      </c>
      <c r="G3" s="1">
        <v>-30</v>
      </c>
      <c r="H3" s="1">
        <v>-10</v>
      </c>
      <c r="I3" s="1">
        <v>10</v>
      </c>
      <c r="J3" s="1">
        <v>30</v>
      </c>
      <c r="K3" s="1">
        <v>50</v>
      </c>
      <c r="L3" s="1">
        <v>60</v>
      </c>
      <c r="M3" s="1">
        <v>80</v>
      </c>
      <c r="N3" s="1">
        <v>90</v>
      </c>
    </row>
    <row r="4" spans="1:14" x14ac:dyDescent="0.3">
      <c r="C4" s="1" t="s">
        <v>2</v>
      </c>
      <c r="D4" s="1">
        <v>-90</v>
      </c>
      <c r="E4" s="1">
        <v>-80</v>
      </c>
      <c r="F4" s="1">
        <v>-40</v>
      </c>
      <c r="G4" s="1">
        <v>-30</v>
      </c>
      <c r="H4" s="1">
        <v>-10</v>
      </c>
      <c r="I4" s="1">
        <v>10</v>
      </c>
      <c r="J4" s="1">
        <v>30</v>
      </c>
      <c r="K4" s="1">
        <v>50</v>
      </c>
      <c r="L4" s="1">
        <v>60</v>
      </c>
      <c r="M4" s="1">
        <v>80</v>
      </c>
      <c r="N4" s="1">
        <v>101</v>
      </c>
    </row>
    <row r="5" spans="1:14" x14ac:dyDescent="0.3">
      <c r="C5" s="1" t="s">
        <v>3</v>
      </c>
      <c r="D5" s="1">
        <v>-80</v>
      </c>
      <c r="E5" s="1">
        <v>-40</v>
      </c>
      <c r="F5" s="1">
        <v>-30</v>
      </c>
      <c r="G5" s="1">
        <v>-10</v>
      </c>
      <c r="H5" s="1">
        <v>10</v>
      </c>
      <c r="I5" s="1">
        <v>30</v>
      </c>
      <c r="J5" s="1">
        <v>50</v>
      </c>
      <c r="K5" s="1">
        <v>60</v>
      </c>
      <c r="L5" s="1">
        <v>80</v>
      </c>
      <c r="M5" s="1">
        <v>90</v>
      </c>
      <c r="N5" s="1">
        <v>102</v>
      </c>
    </row>
    <row r="7" spans="1:14" x14ac:dyDescent="0.3">
      <c r="B7" s="1" t="s">
        <v>14</v>
      </c>
      <c r="D7" s="1" t="str">
        <f>" -90"</f>
        <v xml:space="preserve"> -90</v>
      </c>
      <c r="E7" s="1" t="str">
        <f>" -80"</f>
        <v xml:space="preserve"> -80</v>
      </c>
      <c r="F7" s="1" t="str">
        <f>" -40"</f>
        <v xml:space="preserve"> -40</v>
      </c>
      <c r="G7" s="1" t="str">
        <f>" -30"</f>
        <v xml:space="preserve"> -30</v>
      </c>
      <c r="H7" s="1" t="str">
        <f>" -10"</f>
        <v xml:space="preserve"> -10</v>
      </c>
      <c r="I7" s="1" t="str">
        <f>"+10"</f>
        <v>+10</v>
      </c>
      <c r="J7" s="1" t="str">
        <f>"+30"</f>
        <v>+30</v>
      </c>
      <c r="K7" s="1" t="str">
        <f>"+50"</f>
        <v>+50</v>
      </c>
      <c r="L7" s="1" t="str">
        <f>"+60"</f>
        <v>+60</v>
      </c>
      <c r="M7" s="1" t="str">
        <f>"+80"</f>
        <v>+80</v>
      </c>
      <c r="N7" s="1" t="str">
        <f>"+90"</f>
        <v>+90</v>
      </c>
    </row>
    <row r="9" spans="1:14" x14ac:dyDescent="0.3">
      <c r="A9" s="2">
        <v>0</v>
      </c>
      <c r="B9" s="1">
        <v>-100</v>
      </c>
      <c r="D9" s="1">
        <f>IF($B9&gt;D$5,0,IF($B9&gt;D$4,(D$5-$B9)/(D$5-D$4),IF($B9&gt;D$3,1,IF($B9&gt;D$2,($B9-D$2)/(D$3-D$2),0))))</f>
        <v>1</v>
      </c>
      <c r="E9" s="1">
        <f>IF($B9&gt;E$5,0,IF($B9&gt;E$4,(E$5-$B9)/(E$5-E$4),IF($B9&gt;E$3,1,IF($B9&gt;E$2,($B9-E$2)/(E$3-E$2),0))))</f>
        <v>0</v>
      </c>
      <c r="F9" s="1">
        <f>IF($B9&gt;F$5,0,IF($B9&gt;F$4,(F$5-$B9)/(F$5-F$4),IF($B9&gt;F$3,1,IF($B9&gt;F$2,($B9-F$2)/(F$3-F$2),0))))</f>
        <v>0</v>
      </c>
      <c r="G9" s="1">
        <f t="shared" ref="G9:N24" si="0">IF($B9&gt;G$5,0,IF($B9&gt;G$4,(G$5-$B9)/(G$5-G$4),IF($B9&gt;G$3,1,IF($B9&gt;G$2,($B9-G$2)/(G$3-G$2),0))))</f>
        <v>0</v>
      </c>
      <c r="H9" s="1">
        <f t="shared" si="0"/>
        <v>0</v>
      </c>
      <c r="I9" s="1">
        <f t="shared" si="0"/>
        <v>0</v>
      </c>
      <c r="J9" s="1">
        <f>IF($B9&gt;J$5,0,IF($B9&gt;J$4,(J$5-$B9)/(J$5-J$4),IF($B9&gt;J$3,1,IF($B9&gt;J$2,($B9-J$2)/(J$3-J$2),0))))</f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  <c r="N9" s="1">
        <f t="shared" si="0"/>
        <v>0</v>
      </c>
    </row>
    <row r="10" spans="1:14" x14ac:dyDescent="0.3">
      <c r="A10" s="2">
        <v>1</v>
      </c>
      <c r="B10" s="3">
        <f>B9+((B$306-B$9)/297)</f>
        <v>-99.326599326599322</v>
      </c>
      <c r="D10" s="1">
        <f t="shared" ref="D10:L60" si="1">IF($B10&gt;D$5,0,IF($B10&gt;D$4,(D$5-$B10)/(D$5-D$4),IF($B10&gt;D$3,1,IF($B10&gt;D$2,($B10-D$2)/(D$3-D$2),0))))</f>
        <v>1</v>
      </c>
      <c r="E10" s="1">
        <f t="shared" ref="E10:E73" si="2">IF($B10&gt;E$5,0,IF($B10&gt;E$4,(E$5-$B10)/(E$5-E$4),IF($B10&gt;E$3,1,IF($B10&gt;E$2,($B10-E$2)/(E$3-E$2),0))))</f>
        <v>0</v>
      </c>
      <c r="F10" s="1">
        <f t="shared" ref="F10:F60" si="3">IF($B10&gt;F$5,0,IF($B10&gt;F$4,(F$5-$B10)/(F$5-F$4),IF($B10&gt;F$3,1,IF($B10&gt;F$2,($B10-F$2)/(F$3-F$2),0))))</f>
        <v>0</v>
      </c>
      <c r="G10" s="1">
        <f t="shared" si="1"/>
        <v>0</v>
      </c>
      <c r="H10" s="1">
        <f t="shared" si="1"/>
        <v>0</v>
      </c>
      <c r="I10" s="1">
        <f t="shared" si="1"/>
        <v>0</v>
      </c>
      <c r="J10" s="1">
        <f t="shared" ref="J10:K73" si="4">IF($B10&gt;J$5,0,IF($B10&gt;J$4,(J$5-$B10)/(J$5-J$4),IF($B10&gt;J$3,1,IF($B10&gt;J$2,($B10-J$2)/(J$3-J$2),0))))</f>
        <v>0</v>
      </c>
      <c r="K10" s="1">
        <f t="shared" si="0"/>
        <v>0</v>
      </c>
      <c r="L10" s="1">
        <f t="shared" si="1"/>
        <v>0</v>
      </c>
      <c r="M10" s="1">
        <f t="shared" si="0"/>
        <v>0</v>
      </c>
      <c r="N10" s="1">
        <f t="shared" si="0"/>
        <v>0</v>
      </c>
    </row>
    <row r="11" spans="1:14" x14ac:dyDescent="0.3">
      <c r="A11" s="2">
        <v>2</v>
      </c>
      <c r="B11" s="3">
        <f t="shared" ref="B11:B74" si="5">B10+((B$306-B$9)/297)</f>
        <v>-98.653198653198643</v>
      </c>
      <c r="D11" s="1">
        <f t="shared" si="1"/>
        <v>1</v>
      </c>
      <c r="E11" s="1">
        <f t="shared" si="2"/>
        <v>0</v>
      </c>
      <c r="F11" s="1">
        <f t="shared" si="3"/>
        <v>0</v>
      </c>
      <c r="G11" s="1">
        <f t="shared" si="1"/>
        <v>0</v>
      </c>
      <c r="H11" s="1">
        <f t="shared" si="1"/>
        <v>0</v>
      </c>
      <c r="I11" s="1">
        <f t="shared" si="1"/>
        <v>0</v>
      </c>
      <c r="J11" s="1">
        <f t="shared" si="4"/>
        <v>0</v>
      </c>
      <c r="K11" s="1">
        <f t="shared" si="0"/>
        <v>0</v>
      </c>
      <c r="L11" s="1">
        <f t="shared" si="1"/>
        <v>0</v>
      </c>
      <c r="M11" s="1">
        <f t="shared" si="0"/>
        <v>0</v>
      </c>
      <c r="N11" s="1">
        <f t="shared" si="0"/>
        <v>0</v>
      </c>
    </row>
    <row r="12" spans="1:14" x14ac:dyDescent="0.3">
      <c r="A12" s="2">
        <v>3</v>
      </c>
      <c r="B12" s="3">
        <f t="shared" si="5"/>
        <v>-97.979797979797965</v>
      </c>
      <c r="D12" s="1">
        <f t="shared" si="1"/>
        <v>1</v>
      </c>
      <c r="E12" s="1">
        <f t="shared" si="2"/>
        <v>0</v>
      </c>
      <c r="F12" s="1">
        <f t="shared" si="3"/>
        <v>0</v>
      </c>
      <c r="G12" s="1">
        <f t="shared" si="1"/>
        <v>0</v>
      </c>
      <c r="H12" s="1">
        <f t="shared" si="1"/>
        <v>0</v>
      </c>
      <c r="I12" s="1">
        <f t="shared" si="1"/>
        <v>0</v>
      </c>
      <c r="J12" s="1">
        <f t="shared" si="4"/>
        <v>0</v>
      </c>
      <c r="K12" s="1">
        <f t="shared" si="0"/>
        <v>0</v>
      </c>
      <c r="L12" s="1">
        <f t="shared" si="1"/>
        <v>0</v>
      </c>
      <c r="M12" s="1">
        <f t="shared" si="0"/>
        <v>0</v>
      </c>
      <c r="N12" s="1">
        <f t="shared" si="0"/>
        <v>0</v>
      </c>
    </row>
    <row r="13" spans="1:14" x14ac:dyDescent="0.3">
      <c r="A13" s="2">
        <v>4</v>
      </c>
      <c r="B13" s="3">
        <f t="shared" si="5"/>
        <v>-97.306397306397287</v>
      </c>
      <c r="D13" s="1">
        <f t="shared" si="1"/>
        <v>1</v>
      </c>
      <c r="E13" s="1">
        <f t="shared" si="2"/>
        <v>0</v>
      </c>
      <c r="F13" s="1">
        <f t="shared" si="3"/>
        <v>0</v>
      </c>
      <c r="G13" s="1">
        <f t="shared" si="1"/>
        <v>0</v>
      </c>
      <c r="H13" s="1">
        <f t="shared" si="1"/>
        <v>0</v>
      </c>
      <c r="I13" s="1">
        <f t="shared" si="1"/>
        <v>0</v>
      </c>
      <c r="J13" s="1">
        <f t="shared" si="4"/>
        <v>0</v>
      </c>
      <c r="K13" s="1">
        <f t="shared" si="0"/>
        <v>0</v>
      </c>
      <c r="L13" s="1">
        <f t="shared" si="1"/>
        <v>0</v>
      </c>
      <c r="M13" s="1">
        <f t="shared" si="0"/>
        <v>0</v>
      </c>
      <c r="N13" s="1">
        <f t="shared" si="0"/>
        <v>0</v>
      </c>
    </row>
    <row r="14" spans="1:14" x14ac:dyDescent="0.3">
      <c r="A14" s="2">
        <v>5</v>
      </c>
      <c r="B14" s="3">
        <f t="shared" si="5"/>
        <v>-96.632996632996608</v>
      </c>
      <c r="D14" s="1">
        <f t="shared" si="1"/>
        <v>1</v>
      </c>
      <c r="E14" s="1">
        <f t="shared" si="2"/>
        <v>0</v>
      </c>
      <c r="F14" s="1">
        <f t="shared" si="3"/>
        <v>0</v>
      </c>
      <c r="G14" s="1">
        <f t="shared" si="1"/>
        <v>0</v>
      </c>
      <c r="H14" s="1">
        <f t="shared" si="1"/>
        <v>0</v>
      </c>
      <c r="I14" s="1">
        <f t="shared" si="1"/>
        <v>0</v>
      </c>
      <c r="J14" s="1">
        <f t="shared" si="4"/>
        <v>0</v>
      </c>
      <c r="K14" s="1">
        <f t="shared" si="0"/>
        <v>0</v>
      </c>
      <c r="L14" s="1">
        <f t="shared" si="1"/>
        <v>0</v>
      </c>
      <c r="M14" s="1">
        <f t="shared" si="0"/>
        <v>0</v>
      </c>
      <c r="N14" s="1">
        <f t="shared" si="0"/>
        <v>0</v>
      </c>
    </row>
    <row r="15" spans="1:14" x14ac:dyDescent="0.3">
      <c r="A15" s="2">
        <v>6</v>
      </c>
      <c r="B15" s="3">
        <f t="shared" si="5"/>
        <v>-95.95959595959593</v>
      </c>
      <c r="D15" s="1">
        <f t="shared" si="1"/>
        <v>1</v>
      </c>
      <c r="E15" s="1">
        <f t="shared" si="2"/>
        <v>0</v>
      </c>
      <c r="F15" s="1">
        <f t="shared" si="3"/>
        <v>0</v>
      </c>
      <c r="G15" s="1">
        <f t="shared" si="1"/>
        <v>0</v>
      </c>
      <c r="H15" s="1">
        <f t="shared" si="1"/>
        <v>0</v>
      </c>
      <c r="I15" s="1">
        <f t="shared" si="1"/>
        <v>0</v>
      </c>
      <c r="J15" s="1">
        <f t="shared" si="4"/>
        <v>0</v>
      </c>
      <c r="K15" s="1">
        <f t="shared" si="0"/>
        <v>0</v>
      </c>
      <c r="L15" s="1">
        <f t="shared" si="1"/>
        <v>0</v>
      </c>
      <c r="M15" s="1">
        <f t="shared" si="0"/>
        <v>0</v>
      </c>
      <c r="N15" s="1">
        <f t="shared" si="0"/>
        <v>0</v>
      </c>
    </row>
    <row r="16" spans="1:14" x14ac:dyDescent="0.3">
      <c r="A16" s="2">
        <v>7</v>
      </c>
      <c r="B16" s="3">
        <f t="shared" si="5"/>
        <v>-95.286195286195252</v>
      </c>
      <c r="D16" s="1">
        <f t="shared" si="1"/>
        <v>1</v>
      </c>
      <c r="E16" s="1">
        <f t="shared" si="2"/>
        <v>0</v>
      </c>
      <c r="F16" s="1">
        <f t="shared" si="3"/>
        <v>0</v>
      </c>
      <c r="G16" s="1">
        <f t="shared" si="1"/>
        <v>0</v>
      </c>
      <c r="H16" s="1">
        <f t="shared" si="1"/>
        <v>0</v>
      </c>
      <c r="I16" s="1">
        <f t="shared" si="1"/>
        <v>0</v>
      </c>
      <c r="J16" s="1">
        <f t="shared" si="4"/>
        <v>0</v>
      </c>
      <c r="K16" s="1">
        <f t="shared" si="0"/>
        <v>0</v>
      </c>
      <c r="L16" s="1">
        <f t="shared" si="1"/>
        <v>0</v>
      </c>
      <c r="M16" s="1">
        <f t="shared" si="0"/>
        <v>0</v>
      </c>
      <c r="N16" s="1">
        <f t="shared" si="0"/>
        <v>0</v>
      </c>
    </row>
    <row r="17" spans="1:17" x14ac:dyDescent="0.3">
      <c r="A17" s="2">
        <v>8</v>
      </c>
      <c r="B17" s="3">
        <f t="shared" si="5"/>
        <v>-94.612794612794573</v>
      </c>
      <c r="D17" s="1">
        <f t="shared" si="1"/>
        <v>1</v>
      </c>
      <c r="E17" s="1">
        <f t="shared" si="2"/>
        <v>0</v>
      </c>
      <c r="F17" s="1">
        <f t="shared" si="3"/>
        <v>0</v>
      </c>
      <c r="G17" s="1">
        <f t="shared" si="1"/>
        <v>0</v>
      </c>
      <c r="H17" s="1">
        <f t="shared" si="1"/>
        <v>0</v>
      </c>
      <c r="I17" s="1">
        <f t="shared" si="1"/>
        <v>0</v>
      </c>
      <c r="J17" s="1">
        <f t="shared" si="4"/>
        <v>0</v>
      </c>
      <c r="K17" s="1">
        <f t="shared" si="0"/>
        <v>0</v>
      </c>
      <c r="L17" s="1">
        <f t="shared" si="1"/>
        <v>0</v>
      </c>
      <c r="M17" s="1">
        <f t="shared" si="0"/>
        <v>0</v>
      </c>
      <c r="N17" s="1">
        <f t="shared" si="0"/>
        <v>0</v>
      </c>
    </row>
    <row r="18" spans="1:17" x14ac:dyDescent="0.3">
      <c r="A18" s="2">
        <v>9</v>
      </c>
      <c r="B18" s="3">
        <f t="shared" si="5"/>
        <v>-93.939393939393895</v>
      </c>
      <c r="D18" s="1">
        <f t="shared" si="1"/>
        <v>1</v>
      </c>
      <c r="E18" s="1">
        <f t="shared" si="2"/>
        <v>0</v>
      </c>
      <c r="F18" s="1">
        <f t="shared" si="3"/>
        <v>0</v>
      </c>
      <c r="G18" s="1">
        <f t="shared" si="1"/>
        <v>0</v>
      </c>
      <c r="H18" s="1">
        <f t="shared" si="1"/>
        <v>0</v>
      </c>
      <c r="I18" s="1">
        <f t="shared" si="1"/>
        <v>0</v>
      </c>
      <c r="J18" s="1">
        <f t="shared" si="4"/>
        <v>0</v>
      </c>
      <c r="K18" s="1">
        <f t="shared" si="0"/>
        <v>0</v>
      </c>
      <c r="L18" s="1">
        <f t="shared" si="1"/>
        <v>0</v>
      </c>
      <c r="M18" s="1">
        <f t="shared" si="0"/>
        <v>0</v>
      </c>
      <c r="N18" s="1">
        <f t="shared" si="0"/>
        <v>0</v>
      </c>
    </row>
    <row r="19" spans="1:17" x14ac:dyDescent="0.3">
      <c r="A19" s="2">
        <v>10</v>
      </c>
      <c r="B19" s="3">
        <f t="shared" si="5"/>
        <v>-93.265993265993217</v>
      </c>
      <c r="D19" s="1">
        <f t="shared" si="1"/>
        <v>1</v>
      </c>
      <c r="E19" s="1">
        <f t="shared" si="2"/>
        <v>0</v>
      </c>
      <c r="F19" s="1">
        <f t="shared" si="3"/>
        <v>0</v>
      </c>
      <c r="G19" s="1">
        <f t="shared" si="1"/>
        <v>0</v>
      </c>
      <c r="H19" s="1">
        <f t="shared" si="1"/>
        <v>0</v>
      </c>
      <c r="I19" s="1">
        <f t="shared" si="1"/>
        <v>0</v>
      </c>
      <c r="J19" s="1">
        <f t="shared" si="4"/>
        <v>0</v>
      </c>
      <c r="K19" s="1">
        <f t="shared" si="0"/>
        <v>0</v>
      </c>
      <c r="L19" s="1">
        <f t="shared" si="1"/>
        <v>0</v>
      </c>
      <c r="M19" s="1">
        <f t="shared" si="0"/>
        <v>0</v>
      </c>
      <c r="N19" s="1">
        <f t="shared" si="0"/>
        <v>0</v>
      </c>
    </row>
    <row r="20" spans="1:17" x14ac:dyDescent="0.3">
      <c r="A20" s="2">
        <v>11</v>
      </c>
      <c r="B20" s="3">
        <f t="shared" si="5"/>
        <v>-92.592592592592538</v>
      </c>
      <c r="D20" s="1">
        <f t="shared" si="1"/>
        <v>1</v>
      </c>
      <c r="E20" s="1">
        <f t="shared" si="2"/>
        <v>0</v>
      </c>
      <c r="F20" s="1">
        <f t="shared" si="3"/>
        <v>0</v>
      </c>
      <c r="G20" s="1">
        <f t="shared" si="1"/>
        <v>0</v>
      </c>
      <c r="H20" s="1">
        <f t="shared" si="1"/>
        <v>0</v>
      </c>
      <c r="I20" s="1">
        <f t="shared" si="1"/>
        <v>0</v>
      </c>
      <c r="J20" s="1">
        <f t="shared" si="4"/>
        <v>0</v>
      </c>
      <c r="K20" s="1">
        <f t="shared" si="0"/>
        <v>0</v>
      </c>
      <c r="L20" s="1">
        <f t="shared" si="1"/>
        <v>0</v>
      </c>
      <c r="M20" s="1">
        <f t="shared" si="0"/>
        <v>0</v>
      </c>
      <c r="N20" s="1">
        <f t="shared" si="0"/>
        <v>0</v>
      </c>
    </row>
    <row r="21" spans="1:17" x14ac:dyDescent="0.3">
      <c r="A21" s="2">
        <v>12</v>
      </c>
      <c r="B21" s="3">
        <f t="shared" si="5"/>
        <v>-91.91919191919186</v>
      </c>
      <c r="D21" s="1">
        <f t="shared" si="1"/>
        <v>1</v>
      </c>
      <c r="E21" s="1">
        <f t="shared" si="2"/>
        <v>0</v>
      </c>
      <c r="F21" s="1">
        <f t="shared" si="3"/>
        <v>0</v>
      </c>
      <c r="G21" s="1">
        <f t="shared" si="1"/>
        <v>0</v>
      </c>
      <c r="H21" s="1">
        <f t="shared" si="1"/>
        <v>0</v>
      </c>
      <c r="I21" s="1">
        <f t="shared" si="1"/>
        <v>0</v>
      </c>
      <c r="J21" s="1">
        <f t="shared" si="4"/>
        <v>0</v>
      </c>
      <c r="K21" s="1">
        <f t="shared" si="0"/>
        <v>0</v>
      </c>
      <c r="L21" s="1">
        <f t="shared" si="1"/>
        <v>0</v>
      </c>
      <c r="M21" s="1">
        <f t="shared" si="0"/>
        <v>0</v>
      </c>
      <c r="N21" s="1">
        <f t="shared" si="0"/>
        <v>0</v>
      </c>
    </row>
    <row r="22" spans="1:17" x14ac:dyDescent="0.3">
      <c r="A22" s="2">
        <v>13</v>
      </c>
      <c r="B22" s="3">
        <f t="shared" si="5"/>
        <v>-91.245791245791182</v>
      </c>
      <c r="D22" s="1">
        <f t="shared" si="1"/>
        <v>1</v>
      </c>
      <c r="E22" s="1">
        <f t="shared" si="2"/>
        <v>0</v>
      </c>
      <c r="F22" s="1">
        <f t="shared" si="3"/>
        <v>0</v>
      </c>
      <c r="G22" s="1">
        <f t="shared" si="1"/>
        <v>0</v>
      </c>
      <c r="H22" s="1">
        <f t="shared" si="1"/>
        <v>0</v>
      </c>
      <c r="I22" s="1">
        <f t="shared" si="1"/>
        <v>0</v>
      </c>
      <c r="J22" s="1">
        <f t="shared" si="4"/>
        <v>0</v>
      </c>
      <c r="K22" s="1">
        <f t="shared" si="0"/>
        <v>0</v>
      </c>
      <c r="L22" s="1">
        <f t="shared" si="1"/>
        <v>0</v>
      </c>
      <c r="M22" s="1">
        <f t="shared" si="0"/>
        <v>0</v>
      </c>
      <c r="N22" s="1">
        <f t="shared" si="0"/>
        <v>0</v>
      </c>
    </row>
    <row r="23" spans="1:17" x14ac:dyDescent="0.3">
      <c r="A23" s="2">
        <v>14</v>
      </c>
      <c r="B23" s="3">
        <f t="shared" si="5"/>
        <v>-90.572390572390503</v>
      </c>
      <c r="D23" s="1">
        <f t="shared" si="1"/>
        <v>1</v>
      </c>
      <c r="E23" s="1">
        <f t="shared" si="2"/>
        <v>0</v>
      </c>
      <c r="F23" s="1">
        <f t="shared" si="3"/>
        <v>0</v>
      </c>
      <c r="G23" s="1">
        <f t="shared" si="1"/>
        <v>0</v>
      </c>
      <c r="H23" s="1">
        <f t="shared" si="1"/>
        <v>0</v>
      </c>
      <c r="I23" s="1">
        <f t="shared" si="1"/>
        <v>0</v>
      </c>
      <c r="J23" s="1">
        <f t="shared" si="4"/>
        <v>0</v>
      </c>
      <c r="K23" s="1">
        <f t="shared" si="0"/>
        <v>0</v>
      </c>
      <c r="L23" s="1">
        <f t="shared" si="1"/>
        <v>0</v>
      </c>
      <c r="M23" s="1">
        <f t="shared" si="0"/>
        <v>0</v>
      </c>
      <c r="N23" s="1">
        <f t="shared" si="0"/>
        <v>0</v>
      </c>
    </row>
    <row r="24" spans="1:17" x14ac:dyDescent="0.3">
      <c r="A24" s="2">
        <v>15</v>
      </c>
      <c r="B24" s="3">
        <f t="shared" si="5"/>
        <v>-89.898989898989825</v>
      </c>
      <c r="D24" s="1">
        <f t="shared" si="1"/>
        <v>0.98989898989898251</v>
      </c>
      <c r="E24" s="1">
        <f t="shared" si="2"/>
        <v>1.0101010101017494E-2</v>
      </c>
      <c r="F24" s="1">
        <f t="shared" si="3"/>
        <v>0</v>
      </c>
      <c r="G24" s="1">
        <f t="shared" si="1"/>
        <v>0</v>
      </c>
      <c r="H24" s="1">
        <f t="shared" si="1"/>
        <v>0</v>
      </c>
      <c r="I24" s="1">
        <f t="shared" si="1"/>
        <v>0</v>
      </c>
      <c r="J24" s="1">
        <f t="shared" si="4"/>
        <v>0</v>
      </c>
      <c r="K24" s="1">
        <f t="shared" si="0"/>
        <v>0</v>
      </c>
      <c r="L24" s="1">
        <f t="shared" si="1"/>
        <v>0</v>
      </c>
      <c r="M24" s="1">
        <f t="shared" si="0"/>
        <v>0</v>
      </c>
      <c r="N24" s="1">
        <f t="shared" si="0"/>
        <v>0</v>
      </c>
    </row>
    <row r="25" spans="1:17" x14ac:dyDescent="0.3">
      <c r="A25" s="2">
        <v>16</v>
      </c>
      <c r="B25" s="3">
        <f t="shared" si="5"/>
        <v>-89.225589225589147</v>
      </c>
      <c r="D25" s="1">
        <f t="shared" si="1"/>
        <v>0.9225589225589147</v>
      </c>
      <c r="E25" s="1">
        <f t="shared" si="2"/>
        <v>7.7441077441085332E-2</v>
      </c>
      <c r="F25" s="1">
        <f t="shared" si="3"/>
        <v>0</v>
      </c>
      <c r="G25" s="1">
        <f t="shared" si="1"/>
        <v>0</v>
      </c>
      <c r="H25" s="1">
        <f t="shared" si="1"/>
        <v>0</v>
      </c>
      <c r="I25" s="1">
        <f t="shared" si="1"/>
        <v>0</v>
      </c>
      <c r="J25" s="1">
        <f t="shared" si="4"/>
        <v>0</v>
      </c>
      <c r="K25" s="1">
        <f t="shared" si="4"/>
        <v>0</v>
      </c>
      <c r="L25" s="1">
        <f t="shared" si="1"/>
        <v>0</v>
      </c>
      <c r="M25" s="1">
        <f t="shared" ref="M25:N88" si="6">IF($B25&gt;M$5,0,IF($B25&gt;M$4,(M$5-$B25)/(M$5-M$4),IF($B25&gt;M$3,1,IF($B25&gt;M$2,($B25-M$2)/(M$3-M$2),0))))</f>
        <v>0</v>
      </c>
      <c r="N25" s="1">
        <f t="shared" si="6"/>
        <v>0</v>
      </c>
    </row>
    <row r="26" spans="1:17" x14ac:dyDescent="0.3">
      <c r="A26" s="2">
        <v>17</v>
      </c>
      <c r="B26" s="3">
        <f t="shared" si="5"/>
        <v>-88.552188552188468</v>
      </c>
      <c r="D26" s="1">
        <f t="shared" si="1"/>
        <v>0.85521885521884689</v>
      </c>
      <c r="E26" s="1">
        <f t="shared" si="2"/>
        <v>0.14478114478115317</v>
      </c>
      <c r="F26" s="1">
        <f t="shared" si="3"/>
        <v>0</v>
      </c>
      <c r="G26" s="1">
        <f t="shared" si="1"/>
        <v>0</v>
      </c>
      <c r="H26" s="1">
        <f t="shared" si="1"/>
        <v>0</v>
      </c>
      <c r="I26" s="1">
        <f t="shared" si="1"/>
        <v>0</v>
      </c>
      <c r="J26" s="1">
        <f t="shared" si="4"/>
        <v>0</v>
      </c>
      <c r="K26" s="1">
        <f t="shared" si="4"/>
        <v>0</v>
      </c>
      <c r="L26" s="1">
        <f t="shared" si="1"/>
        <v>0</v>
      </c>
      <c r="M26" s="1">
        <f t="shared" si="6"/>
        <v>0</v>
      </c>
      <c r="N26" s="1">
        <f t="shared" si="6"/>
        <v>0</v>
      </c>
      <c r="P26" s="1">
        <v>-90</v>
      </c>
      <c r="Q26" s="6" t="s">
        <v>32</v>
      </c>
    </row>
    <row r="27" spans="1:17" x14ac:dyDescent="0.3">
      <c r="A27" s="2">
        <v>18</v>
      </c>
      <c r="B27" s="3">
        <f t="shared" si="5"/>
        <v>-87.87878787878779</v>
      </c>
      <c r="D27" s="1">
        <f t="shared" si="1"/>
        <v>0.78787878787877896</v>
      </c>
      <c r="E27" s="1">
        <f t="shared" si="2"/>
        <v>0.21212121212122098</v>
      </c>
      <c r="F27" s="1">
        <f t="shared" si="3"/>
        <v>0</v>
      </c>
      <c r="G27" s="1">
        <f t="shared" si="1"/>
        <v>0</v>
      </c>
      <c r="H27" s="1">
        <f t="shared" si="1"/>
        <v>0</v>
      </c>
      <c r="I27" s="1">
        <f t="shared" si="1"/>
        <v>0</v>
      </c>
      <c r="J27" s="1">
        <f t="shared" si="4"/>
        <v>0</v>
      </c>
      <c r="K27" s="1">
        <f t="shared" si="4"/>
        <v>0</v>
      </c>
      <c r="L27" s="1">
        <f t="shared" si="1"/>
        <v>0</v>
      </c>
      <c r="M27" s="1">
        <f t="shared" si="6"/>
        <v>0</v>
      </c>
      <c r="N27" s="1">
        <f t="shared" si="6"/>
        <v>0</v>
      </c>
      <c r="P27" s="1">
        <v>-80</v>
      </c>
      <c r="Q27" s="6" t="s">
        <v>42</v>
      </c>
    </row>
    <row r="28" spans="1:17" x14ac:dyDescent="0.3">
      <c r="A28" s="2">
        <v>19</v>
      </c>
      <c r="B28" s="3">
        <f t="shared" si="5"/>
        <v>-87.205387205387112</v>
      </c>
      <c r="D28" s="1">
        <f t="shared" si="1"/>
        <v>0.72053872053871115</v>
      </c>
      <c r="E28" s="1">
        <f t="shared" si="2"/>
        <v>0.27946127946128885</v>
      </c>
      <c r="F28" s="1">
        <f t="shared" si="3"/>
        <v>0</v>
      </c>
      <c r="G28" s="1">
        <f t="shared" si="1"/>
        <v>0</v>
      </c>
      <c r="H28" s="1">
        <f t="shared" si="1"/>
        <v>0</v>
      </c>
      <c r="I28" s="1">
        <f t="shared" si="1"/>
        <v>0</v>
      </c>
      <c r="J28" s="1">
        <f t="shared" si="4"/>
        <v>0</v>
      </c>
      <c r="K28" s="1">
        <f t="shared" si="4"/>
        <v>0</v>
      </c>
      <c r="L28" s="1">
        <f t="shared" si="1"/>
        <v>0</v>
      </c>
      <c r="M28" s="1">
        <f t="shared" si="6"/>
        <v>0</v>
      </c>
      <c r="N28" s="1">
        <f t="shared" si="6"/>
        <v>0</v>
      </c>
      <c r="P28" s="1">
        <v>-40</v>
      </c>
      <c r="Q28" s="6" t="s">
        <v>33</v>
      </c>
    </row>
    <row r="29" spans="1:17" x14ac:dyDescent="0.3">
      <c r="A29" s="2">
        <v>20</v>
      </c>
      <c r="B29" s="3">
        <f t="shared" si="5"/>
        <v>-86.531986531986433</v>
      </c>
      <c r="D29" s="1">
        <f t="shared" si="1"/>
        <v>0.65319865319864334</v>
      </c>
      <c r="E29" s="1">
        <f t="shared" si="2"/>
        <v>0.34680134680135666</v>
      </c>
      <c r="F29" s="1">
        <f t="shared" si="3"/>
        <v>0</v>
      </c>
      <c r="G29" s="1">
        <f t="shared" si="1"/>
        <v>0</v>
      </c>
      <c r="H29" s="1">
        <f t="shared" si="1"/>
        <v>0</v>
      </c>
      <c r="I29" s="1">
        <f t="shared" si="1"/>
        <v>0</v>
      </c>
      <c r="J29" s="1">
        <f t="shared" si="4"/>
        <v>0</v>
      </c>
      <c r="K29" s="1">
        <f t="shared" si="4"/>
        <v>0</v>
      </c>
      <c r="L29" s="1">
        <f t="shared" si="1"/>
        <v>0</v>
      </c>
      <c r="M29" s="1">
        <f t="shared" si="6"/>
        <v>0</v>
      </c>
      <c r="N29" s="1">
        <f t="shared" si="6"/>
        <v>0</v>
      </c>
      <c r="P29" s="1">
        <v>-30</v>
      </c>
      <c r="Q29" s="6" t="s">
        <v>34</v>
      </c>
    </row>
    <row r="30" spans="1:17" x14ac:dyDescent="0.3">
      <c r="A30" s="2">
        <v>21</v>
      </c>
      <c r="B30" s="3">
        <f t="shared" si="5"/>
        <v>-85.858585858585755</v>
      </c>
      <c r="D30" s="1">
        <f t="shared" si="1"/>
        <v>0.58585858585857553</v>
      </c>
      <c r="E30" s="1">
        <f t="shared" si="2"/>
        <v>0.41414141414142447</v>
      </c>
      <c r="F30" s="1">
        <f t="shared" si="3"/>
        <v>0</v>
      </c>
      <c r="G30" s="1">
        <f t="shared" si="1"/>
        <v>0</v>
      </c>
      <c r="H30" s="1">
        <f t="shared" si="1"/>
        <v>0</v>
      </c>
      <c r="I30" s="1">
        <f t="shared" si="1"/>
        <v>0</v>
      </c>
      <c r="J30" s="1">
        <f t="shared" si="4"/>
        <v>0</v>
      </c>
      <c r="K30" s="1">
        <f t="shared" si="4"/>
        <v>0</v>
      </c>
      <c r="L30" s="1">
        <f t="shared" si="1"/>
        <v>0</v>
      </c>
      <c r="M30" s="1">
        <f t="shared" si="6"/>
        <v>0</v>
      </c>
      <c r="N30" s="1">
        <f t="shared" si="6"/>
        <v>0</v>
      </c>
      <c r="P30" s="1">
        <v>-10</v>
      </c>
      <c r="Q30" s="6" t="s">
        <v>35</v>
      </c>
    </row>
    <row r="31" spans="1:17" x14ac:dyDescent="0.3">
      <c r="A31" s="2">
        <v>22</v>
      </c>
      <c r="B31" s="3">
        <f t="shared" si="5"/>
        <v>-85.185185185185077</v>
      </c>
      <c r="D31" s="1">
        <f t="shared" si="1"/>
        <v>0.51851851851850772</v>
      </c>
      <c r="E31" s="1">
        <f t="shared" si="2"/>
        <v>0.48148148148149233</v>
      </c>
      <c r="F31" s="1">
        <f t="shared" si="3"/>
        <v>0</v>
      </c>
      <c r="G31" s="1">
        <f t="shared" si="1"/>
        <v>0</v>
      </c>
      <c r="H31" s="1">
        <f t="shared" si="1"/>
        <v>0</v>
      </c>
      <c r="I31" s="1">
        <f t="shared" si="1"/>
        <v>0</v>
      </c>
      <c r="J31" s="1">
        <f t="shared" si="4"/>
        <v>0</v>
      </c>
      <c r="K31" s="1">
        <f t="shared" si="4"/>
        <v>0</v>
      </c>
      <c r="L31" s="1">
        <f t="shared" si="1"/>
        <v>0</v>
      </c>
      <c r="M31" s="1">
        <f t="shared" si="6"/>
        <v>0</v>
      </c>
      <c r="N31" s="1">
        <f t="shared" si="6"/>
        <v>0</v>
      </c>
      <c r="P31" s="1">
        <v>10</v>
      </c>
      <c r="Q31" s="6" t="s">
        <v>36</v>
      </c>
    </row>
    <row r="32" spans="1:17" x14ac:dyDescent="0.3">
      <c r="A32" s="2">
        <v>23</v>
      </c>
      <c r="B32" s="3">
        <f t="shared" si="5"/>
        <v>-84.511784511784398</v>
      </c>
      <c r="D32" s="1">
        <f t="shared" si="1"/>
        <v>0.45117845117843985</v>
      </c>
      <c r="E32" s="1">
        <f t="shared" si="2"/>
        <v>0.5488215488215602</v>
      </c>
      <c r="F32" s="1">
        <f t="shared" si="3"/>
        <v>0</v>
      </c>
      <c r="G32" s="1">
        <f t="shared" si="1"/>
        <v>0</v>
      </c>
      <c r="H32" s="1">
        <f t="shared" si="1"/>
        <v>0</v>
      </c>
      <c r="I32" s="1">
        <f t="shared" si="1"/>
        <v>0</v>
      </c>
      <c r="J32" s="1">
        <f t="shared" si="4"/>
        <v>0</v>
      </c>
      <c r="K32" s="1">
        <f t="shared" si="4"/>
        <v>0</v>
      </c>
      <c r="L32" s="1">
        <f t="shared" si="1"/>
        <v>0</v>
      </c>
      <c r="M32" s="1">
        <f t="shared" si="6"/>
        <v>0</v>
      </c>
      <c r="N32" s="1">
        <f t="shared" si="6"/>
        <v>0</v>
      </c>
      <c r="P32" s="1">
        <v>30</v>
      </c>
      <c r="Q32" s="6" t="s">
        <v>37</v>
      </c>
    </row>
    <row r="33" spans="1:17" x14ac:dyDescent="0.3">
      <c r="A33" s="2">
        <v>24</v>
      </c>
      <c r="B33" s="3">
        <f t="shared" si="5"/>
        <v>-83.83838383838372</v>
      </c>
      <c r="D33" s="1">
        <f t="shared" si="1"/>
        <v>0.38383838383837199</v>
      </c>
      <c r="E33" s="1">
        <f t="shared" si="2"/>
        <v>0.61616161616162801</v>
      </c>
      <c r="F33" s="1">
        <f t="shared" si="3"/>
        <v>0</v>
      </c>
      <c r="G33" s="1">
        <f t="shared" si="1"/>
        <v>0</v>
      </c>
      <c r="H33" s="1">
        <f t="shared" si="1"/>
        <v>0</v>
      </c>
      <c r="I33" s="1">
        <f t="shared" si="1"/>
        <v>0</v>
      </c>
      <c r="J33" s="1">
        <f t="shared" si="4"/>
        <v>0</v>
      </c>
      <c r="K33" s="1">
        <f t="shared" si="4"/>
        <v>0</v>
      </c>
      <c r="L33" s="1">
        <f t="shared" si="1"/>
        <v>0</v>
      </c>
      <c r="M33" s="1">
        <f t="shared" si="6"/>
        <v>0</v>
      </c>
      <c r="N33" s="1">
        <f t="shared" si="6"/>
        <v>0</v>
      </c>
      <c r="P33" s="1">
        <v>50</v>
      </c>
      <c r="Q33" s="6" t="s">
        <v>38</v>
      </c>
    </row>
    <row r="34" spans="1:17" x14ac:dyDescent="0.3">
      <c r="A34" s="2">
        <v>25</v>
      </c>
      <c r="B34" s="3">
        <f t="shared" si="5"/>
        <v>-83.164983164983042</v>
      </c>
      <c r="D34" s="1">
        <f t="shared" si="1"/>
        <v>0.31649831649830418</v>
      </c>
      <c r="E34" s="1">
        <f t="shared" si="2"/>
        <v>0.68350168350169582</v>
      </c>
      <c r="F34" s="1">
        <f t="shared" si="3"/>
        <v>0</v>
      </c>
      <c r="G34" s="1">
        <f t="shared" si="1"/>
        <v>0</v>
      </c>
      <c r="H34" s="1">
        <f t="shared" si="1"/>
        <v>0</v>
      </c>
      <c r="I34" s="1">
        <f t="shared" si="1"/>
        <v>0</v>
      </c>
      <c r="J34" s="1">
        <f t="shared" si="4"/>
        <v>0</v>
      </c>
      <c r="K34" s="1">
        <f t="shared" si="4"/>
        <v>0</v>
      </c>
      <c r="L34" s="1">
        <f t="shared" si="1"/>
        <v>0</v>
      </c>
      <c r="M34" s="1">
        <f t="shared" si="6"/>
        <v>0</v>
      </c>
      <c r="N34" s="1">
        <f t="shared" si="6"/>
        <v>0</v>
      </c>
      <c r="P34" s="1">
        <v>60</v>
      </c>
      <c r="Q34" s="6" t="s">
        <v>39</v>
      </c>
    </row>
    <row r="35" spans="1:17" x14ac:dyDescent="0.3">
      <c r="A35" s="2">
        <v>26</v>
      </c>
      <c r="B35" s="3">
        <f t="shared" si="5"/>
        <v>-82.491582491582363</v>
      </c>
      <c r="D35" s="1">
        <f t="shared" si="1"/>
        <v>0.24915824915823634</v>
      </c>
      <c r="E35" s="1">
        <f t="shared" si="2"/>
        <v>0.75084175084176363</v>
      </c>
      <c r="F35" s="1">
        <f t="shared" si="3"/>
        <v>0</v>
      </c>
      <c r="G35" s="1">
        <f t="shared" si="1"/>
        <v>0</v>
      </c>
      <c r="H35" s="1">
        <f t="shared" si="1"/>
        <v>0</v>
      </c>
      <c r="I35" s="1">
        <f t="shared" si="1"/>
        <v>0</v>
      </c>
      <c r="J35" s="1">
        <f t="shared" si="4"/>
        <v>0</v>
      </c>
      <c r="K35" s="1">
        <f t="shared" si="4"/>
        <v>0</v>
      </c>
      <c r="L35" s="1">
        <f t="shared" si="1"/>
        <v>0</v>
      </c>
      <c r="M35" s="1">
        <f t="shared" si="6"/>
        <v>0</v>
      </c>
      <c r="N35" s="1">
        <f t="shared" si="6"/>
        <v>0</v>
      </c>
      <c r="P35" s="1">
        <v>80</v>
      </c>
      <c r="Q35" s="6" t="s">
        <v>40</v>
      </c>
    </row>
    <row r="36" spans="1:17" x14ac:dyDescent="0.3">
      <c r="A36" s="2">
        <v>27</v>
      </c>
      <c r="B36" s="3">
        <f t="shared" si="5"/>
        <v>-81.818181818181685</v>
      </c>
      <c r="D36" s="1">
        <f t="shared" si="1"/>
        <v>0.1818181818181685</v>
      </c>
      <c r="E36" s="1">
        <f t="shared" si="2"/>
        <v>0.81818181818183144</v>
      </c>
      <c r="F36" s="1">
        <f t="shared" si="3"/>
        <v>0</v>
      </c>
      <c r="G36" s="1">
        <f t="shared" si="1"/>
        <v>0</v>
      </c>
      <c r="H36" s="1">
        <f t="shared" si="1"/>
        <v>0</v>
      </c>
      <c r="I36" s="1">
        <f t="shared" si="1"/>
        <v>0</v>
      </c>
      <c r="J36" s="1">
        <f t="shared" si="4"/>
        <v>0</v>
      </c>
      <c r="K36" s="1">
        <f t="shared" si="4"/>
        <v>0</v>
      </c>
      <c r="L36" s="1">
        <f t="shared" si="1"/>
        <v>0</v>
      </c>
      <c r="M36" s="1">
        <f t="shared" si="6"/>
        <v>0</v>
      </c>
      <c r="N36" s="1">
        <f t="shared" si="6"/>
        <v>0</v>
      </c>
      <c r="P36" s="1">
        <v>90</v>
      </c>
      <c r="Q36" s="6" t="s">
        <v>41</v>
      </c>
    </row>
    <row r="37" spans="1:17" x14ac:dyDescent="0.3">
      <c r="A37" s="2">
        <v>28</v>
      </c>
      <c r="B37" s="3">
        <f t="shared" si="5"/>
        <v>-81.144781144781007</v>
      </c>
      <c r="D37" s="1">
        <f t="shared" si="1"/>
        <v>0.11447811447810068</v>
      </c>
      <c r="E37" s="1">
        <f t="shared" si="2"/>
        <v>0.88552188552189937</v>
      </c>
      <c r="F37" s="1">
        <f t="shared" si="3"/>
        <v>0</v>
      </c>
      <c r="G37" s="1">
        <f t="shared" si="1"/>
        <v>0</v>
      </c>
      <c r="H37" s="1">
        <f t="shared" si="1"/>
        <v>0</v>
      </c>
      <c r="I37" s="1">
        <f t="shared" si="1"/>
        <v>0</v>
      </c>
      <c r="J37" s="1">
        <f t="shared" si="4"/>
        <v>0</v>
      </c>
      <c r="K37" s="1">
        <f t="shared" si="4"/>
        <v>0</v>
      </c>
      <c r="L37" s="1">
        <f t="shared" si="1"/>
        <v>0</v>
      </c>
      <c r="M37" s="1">
        <f t="shared" si="6"/>
        <v>0</v>
      </c>
      <c r="N37" s="1">
        <f t="shared" si="6"/>
        <v>0</v>
      </c>
    </row>
    <row r="38" spans="1:17" x14ac:dyDescent="0.3">
      <c r="A38" s="2">
        <v>29</v>
      </c>
      <c r="B38" s="3">
        <f t="shared" si="5"/>
        <v>-80.471380471380328</v>
      </c>
      <c r="D38" s="1">
        <f t="shared" si="1"/>
        <v>4.7138047138032844E-2</v>
      </c>
      <c r="E38" s="1">
        <f t="shared" si="2"/>
        <v>0.95286195286196718</v>
      </c>
      <c r="F38" s="1">
        <f t="shared" si="3"/>
        <v>0</v>
      </c>
      <c r="G38" s="1">
        <f t="shared" si="1"/>
        <v>0</v>
      </c>
      <c r="H38" s="1">
        <f t="shared" si="1"/>
        <v>0</v>
      </c>
      <c r="I38" s="1">
        <f t="shared" si="1"/>
        <v>0</v>
      </c>
      <c r="J38" s="1">
        <f t="shared" si="4"/>
        <v>0</v>
      </c>
      <c r="K38" s="1">
        <f t="shared" si="4"/>
        <v>0</v>
      </c>
      <c r="L38" s="1">
        <f t="shared" si="1"/>
        <v>0</v>
      </c>
      <c r="M38" s="1">
        <f t="shared" si="6"/>
        <v>0</v>
      </c>
      <c r="N38" s="1">
        <f t="shared" si="6"/>
        <v>0</v>
      </c>
    </row>
    <row r="39" spans="1:17" x14ac:dyDescent="0.3">
      <c r="A39" s="2">
        <v>30</v>
      </c>
      <c r="B39" s="3">
        <f t="shared" si="5"/>
        <v>-79.79797979797965</v>
      </c>
      <c r="D39" s="1">
        <f t="shared" si="1"/>
        <v>0</v>
      </c>
      <c r="E39" s="1">
        <f t="shared" si="2"/>
        <v>0.99494949494949125</v>
      </c>
      <c r="F39" s="1">
        <f t="shared" si="3"/>
        <v>5.0505050505087468E-3</v>
      </c>
      <c r="G39" s="1">
        <f t="shared" si="1"/>
        <v>0</v>
      </c>
      <c r="H39" s="1">
        <f t="shared" si="1"/>
        <v>0</v>
      </c>
      <c r="I39" s="1">
        <f t="shared" si="1"/>
        <v>0</v>
      </c>
      <c r="J39" s="1">
        <f t="shared" si="4"/>
        <v>0</v>
      </c>
      <c r="K39" s="1">
        <f t="shared" si="4"/>
        <v>0</v>
      </c>
      <c r="L39" s="1">
        <f t="shared" si="1"/>
        <v>0</v>
      </c>
      <c r="M39" s="1">
        <f t="shared" si="6"/>
        <v>0</v>
      </c>
      <c r="N39" s="1">
        <f t="shared" si="6"/>
        <v>0</v>
      </c>
    </row>
    <row r="40" spans="1:17" x14ac:dyDescent="0.3">
      <c r="A40" s="2">
        <v>31</v>
      </c>
      <c r="B40" s="3">
        <f t="shared" si="5"/>
        <v>-79.124579124578972</v>
      </c>
      <c r="D40" s="1">
        <f t="shared" si="1"/>
        <v>0</v>
      </c>
      <c r="E40" s="1">
        <f t="shared" si="2"/>
        <v>0.97811447811447427</v>
      </c>
      <c r="F40" s="1">
        <f t="shared" si="3"/>
        <v>2.1885521885525706E-2</v>
      </c>
      <c r="G40" s="1">
        <f t="shared" si="1"/>
        <v>0</v>
      </c>
      <c r="H40" s="1">
        <f t="shared" si="1"/>
        <v>0</v>
      </c>
      <c r="I40" s="1">
        <f t="shared" si="1"/>
        <v>0</v>
      </c>
      <c r="J40" s="1">
        <f t="shared" si="4"/>
        <v>0</v>
      </c>
      <c r="K40" s="1">
        <f t="shared" si="4"/>
        <v>0</v>
      </c>
      <c r="L40" s="1">
        <f t="shared" si="1"/>
        <v>0</v>
      </c>
      <c r="M40" s="1">
        <f t="shared" si="6"/>
        <v>0</v>
      </c>
      <c r="N40" s="1">
        <f t="shared" si="6"/>
        <v>0</v>
      </c>
    </row>
    <row r="41" spans="1:17" x14ac:dyDescent="0.3">
      <c r="A41" s="2">
        <v>32</v>
      </c>
      <c r="B41" s="3">
        <f t="shared" si="5"/>
        <v>-78.451178451178293</v>
      </c>
      <c r="D41" s="1">
        <f t="shared" si="1"/>
        <v>0</v>
      </c>
      <c r="E41" s="1">
        <f t="shared" si="2"/>
        <v>0.96127946127945729</v>
      </c>
      <c r="F41" s="1">
        <f t="shared" si="3"/>
        <v>3.8720538720542666E-2</v>
      </c>
      <c r="G41" s="1">
        <f t="shared" si="1"/>
        <v>0</v>
      </c>
      <c r="H41" s="1">
        <f t="shared" si="1"/>
        <v>0</v>
      </c>
      <c r="I41" s="1">
        <f t="shared" si="1"/>
        <v>0</v>
      </c>
      <c r="J41" s="1">
        <f t="shared" si="4"/>
        <v>0</v>
      </c>
      <c r="K41" s="1">
        <f t="shared" si="4"/>
        <v>0</v>
      </c>
      <c r="L41" s="1">
        <f t="shared" si="1"/>
        <v>0</v>
      </c>
      <c r="M41" s="1">
        <f t="shared" si="6"/>
        <v>0</v>
      </c>
      <c r="N41" s="1">
        <f t="shared" si="6"/>
        <v>0</v>
      </c>
    </row>
    <row r="42" spans="1:17" x14ac:dyDescent="0.3">
      <c r="A42" s="2">
        <v>33</v>
      </c>
      <c r="B42" s="3">
        <f t="shared" si="5"/>
        <v>-77.777777777777615</v>
      </c>
      <c r="D42" s="1">
        <f t="shared" si="1"/>
        <v>0</v>
      </c>
      <c r="E42" s="1">
        <f t="shared" si="2"/>
        <v>0.94444444444444042</v>
      </c>
      <c r="F42" s="1">
        <f t="shared" si="3"/>
        <v>5.5555555555559619E-2</v>
      </c>
      <c r="G42" s="1">
        <f t="shared" si="1"/>
        <v>0</v>
      </c>
      <c r="H42" s="1">
        <f t="shared" si="1"/>
        <v>0</v>
      </c>
      <c r="I42" s="1">
        <f t="shared" si="1"/>
        <v>0</v>
      </c>
      <c r="J42" s="1">
        <f t="shared" si="4"/>
        <v>0</v>
      </c>
      <c r="K42" s="1">
        <f t="shared" si="4"/>
        <v>0</v>
      </c>
      <c r="L42" s="1">
        <f t="shared" si="1"/>
        <v>0</v>
      </c>
      <c r="M42" s="1">
        <f t="shared" si="6"/>
        <v>0</v>
      </c>
      <c r="N42" s="1">
        <f t="shared" si="6"/>
        <v>0</v>
      </c>
    </row>
    <row r="43" spans="1:17" x14ac:dyDescent="0.3">
      <c r="A43" s="2">
        <v>34</v>
      </c>
      <c r="B43" s="3">
        <f t="shared" si="5"/>
        <v>-77.104377104376937</v>
      </c>
      <c r="D43" s="1">
        <f t="shared" si="1"/>
        <v>0</v>
      </c>
      <c r="E43" s="1">
        <f t="shared" si="2"/>
        <v>0.92760942760942344</v>
      </c>
      <c r="F43" s="1">
        <f t="shared" si="3"/>
        <v>7.2390572390576585E-2</v>
      </c>
      <c r="G43" s="1">
        <f t="shared" si="1"/>
        <v>0</v>
      </c>
      <c r="H43" s="1">
        <f t="shared" si="1"/>
        <v>0</v>
      </c>
      <c r="I43" s="1">
        <f t="shared" si="1"/>
        <v>0</v>
      </c>
      <c r="J43" s="1">
        <f t="shared" si="4"/>
        <v>0</v>
      </c>
      <c r="K43" s="1">
        <f t="shared" si="4"/>
        <v>0</v>
      </c>
      <c r="L43" s="1">
        <f t="shared" si="1"/>
        <v>0</v>
      </c>
      <c r="M43" s="1">
        <f t="shared" si="6"/>
        <v>0</v>
      </c>
      <c r="N43" s="1">
        <f t="shared" si="6"/>
        <v>0</v>
      </c>
    </row>
    <row r="44" spans="1:17" x14ac:dyDescent="0.3">
      <c r="A44" s="2">
        <v>35</v>
      </c>
      <c r="B44" s="3">
        <f t="shared" si="5"/>
        <v>-76.430976430976258</v>
      </c>
      <c r="D44" s="1">
        <f t="shared" si="1"/>
        <v>0</v>
      </c>
      <c r="E44" s="1">
        <f t="shared" si="2"/>
        <v>0.91077441077440646</v>
      </c>
      <c r="F44" s="1">
        <f t="shared" si="3"/>
        <v>8.9225589225593538E-2</v>
      </c>
      <c r="G44" s="1">
        <f t="shared" si="1"/>
        <v>0</v>
      </c>
      <c r="H44" s="1">
        <f t="shared" si="1"/>
        <v>0</v>
      </c>
      <c r="I44" s="1">
        <f t="shared" si="1"/>
        <v>0</v>
      </c>
      <c r="J44" s="1">
        <f t="shared" si="4"/>
        <v>0</v>
      </c>
      <c r="K44" s="1">
        <f t="shared" si="4"/>
        <v>0</v>
      </c>
      <c r="L44" s="1">
        <f t="shared" si="1"/>
        <v>0</v>
      </c>
      <c r="M44" s="1">
        <f t="shared" si="6"/>
        <v>0</v>
      </c>
      <c r="N44" s="1">
        <f t="shared" si="6"/>
        <v>0</v>
      </c>
    </row>
    <row r="45" spans="1:17" x14ac:dyDescent="0.3">
      <c r="A45" s="2">
        <v>36</v>
      </c>
      <c r="B45" s="3">
        <f t="shared" si="5"/>
        <v>-75.75757575757558</v>
      </c>
      <c r="D45" s="1">
        <f t="shared" si="1"/>
        <v>0</v>
      </c>
      <c r="E45" s="1">
        <f t="shared" si="2"/>
        <v>0.89393939393938948</v>
      </c>
      <c r="F45" s="1">
        <f t="shared" si="3"/>
        <v>0.10606060606061049</v>
      </c>
      <c r="G45" s="1">
        <f t="shared" si="1"/>
        <v>0</v>
      </c>
      <c r="H45" s="1">
        <f t="shared" si="1"/>
        <v>0</v>
      </c>
      <c r="I45" s="1">
        <f t="shared" si="1"/>
        <v>0</v>
      </c>
      <c r="J45" s="1">
        <f t="shared" si="4"/>
        <v>0</v>
      </c>
      <c r="K45" s="1">
        <f t="shared" si="4"/>
        <v>0</v>
      </c>
      <c r="L45" s="1">
        <f t="shared" si="1"/>
        <v>0</v>
      </c>
      <c r="M45" s="1">
        <f t="shared" si="6"/>
        <v>0</v>
      </c>
      <c r="N45" s="1">
        <f t="shared" si="6"/>
        <v>0</v>
      </c>
    </row>
    <row r="46" spans="1:17" x14ac:dyDescent="0.3">
      <c r="A46" s="2">
        <v>37</v>
      </c>
      <c r="B46" s="3">
        <f t="shared" si="5"/>
        <v>-75.084175084174902</v>
      </c>
      <c r="D46" s="1">
        <f t="shared" si="1"/>
        <v>0</v>
      </c>
      <c r="E46" s="1">
        <f t="shared" si="2"/>
        <v>0.8771043771043725</v>
      </c>
      <c r="F46" s="1">
        <f t="shared" si="3"/>
        <v>0.12289562289562746</v>
      </c>
      <c r="G46" s="1">
        <f t="shared" si="1"/>
        <v>0</v>
      </c>
      <c r="H46" s="1">
        <f t="shared" si="1"/>
        <v>0</v>
      </c>
      <c r="I46" s="1">
        <f t="shared" si="1"/>
        <v>0</v>
      </c>
      <c r="J46" s="1">
        <f t="shared" si="4"/>
        <v>0</v>
      </c>
      <c r="K46" s="1">
        <f t="shared" si="4"/>
        <v>0</v>
      </c>
      <c r="L46" s="1">
        <f t="shared" si="1"/>
        <v>0</v>
      </c>
      <c r="M46" s="1">
        <f t="shared" si="6"/>
        <v>0</v>
      </c>
      <c r="N46" s="1">
        <f t="shared" si="6"/>
        <v>0</v>
      </c>
    </row>
    <row r="47" spans="1:17" x14ac:dyDescent="0.3">
      <c r="A47" s="2">
        <v>38</v>
      </c>
      <c r="B47" s="3">
        <f t="shared" si="5"/>
        <v>-74.410774410774223</v>
      </c>
      <c r="D47" s="1">
        <f t="shared" si="1"/>
        <v>0</v>
      </c>
      <c r="E47" s="1">
        <f t="shared" si="2"/>
        <v>0.86026936026935563</v>
      </c>
      <c r="F47" s="1">
        <f t="shared" si="3"/>
        <v>0.13973063973064442</v>
      </c>
      <c r="G47" s="1">
        <f t="shared" si="1"/>
        <v>0</v>
      </c>
      <c r="H47" s="1">
        <f t="shared" si="1"/>
        <v>0</v>
      </c>
      <c r="I47" s="1">
        <f t="shared" si="1"/>
        <v>0</v>
      </c>
      <c r="J47" s="1">
        <f t="shared" si="4"/>
        <v>0</v>
      </c>
      <c r="K47" s="1">
        <f t="shared" si="4"/>
        <v>0</v>
      </c>
      <c r="L47" s="1">
        <f t="shared" si="1"/>
        <v>0</v>
      </c>
      <c r="M47" s="1">
        <f t="shared" si="6"/>
        <v>0</v>
      </c>
      <c r="N47" s="1">
        <f t="shared" si="6"/>
        <v>0</v>
      </c>
    </row>
    <row r="48" spans="1:17" x14ac:dyDescent="0.3">
      <c r="A48" s="2">
        <v>39</v>
      </c>
      <c r="B48" s="3">
        <f t="shared" si="5"/>
        <v>-73.737373737373545</v>
      </c>
      <c r="D48" s="1">
        <f t="shared" si="1"/>
        <v>0</v>
      </c>
      <c r="E48" s="1">
        <f t="shared" si="2"/>
        <v>0.84343434343433865</v>
      </c>
      <c r="F48" s="1">
        <f t="shared" si="3"/>
        <v>0.15656565656566138</v>
      </c>
      <c r="G48" s="1">
        <f t="shared" si="1"/>
        <v>0</v>
      </c>
      <c r="H48" s="1">
        <f t="shared" si="1"/>
        <v>0</v>
      </c>
      <c r="I48" s="1">
        <f t="shared" si="1"/>
        <v>0</v>
      </c>
      <c r="J48" s="1">
        <f t="shared" si="4"/>
        <v>0</v>
      </c>
      <c r="K48" s="1">
        <f t="shared" si="4"/>
        <v>0</v>
      </c>
      <c r="L48" s="1">
        <f t="shared" si="1"/>
        <v>0</v>
      </c>
      <c r="M48" s="1">
        <f t="shared" si="6"/>
        <v>0</v>
      </c>
      <c r="N48" s="1">
        <f t="shared" si="6"/>
        <v>0</v>
      </c>
    </row>
    <row r="49" spans="1:14" x14ac:dyDescent="0.3">
      <c r="A49" s="2">
        <v>40</v>
      </c>
      <c r="B49" s="3">
        <f t="shared" si="5"/>
        <v>-73.063973063972867</v>
      </c>
      <c r="D49" s="1">
        <f t="shared" si="1"/>
        <v>0</v>
      </c>
      <c r="E49" s="1">
        <f t="shared" si="2"/>
        <v>0.82659932659932167</v>
      </c>
      <c r="F49" s="1">
        <f t="shared" si="3"/>
        <v>0.17340067340067833</v>
      </c>
      <c r="G49" s="1">
        <f t="shared" si="1"/>
        <v>0</v>
      </c>
      <c r="H49" s="1">
        <f t="shared" si="1"/>
        <v>0</v>
      </c>
      <c r="I49" s="1">
        <f t="shared" si="1"/>
        <v>0</v>
      </c>
      <c r="J49" s="1">
        <f t="shared" si="4"/>
        <v>0</v>
      </c>
      <c r="K49" s="1">
        <f t="shared" si="4"/>
        <v>0</v>
      </c>
      <c r="L49" s="1">
        <f t="shared" si="1"/>
        <v>0</v>
      </c>
      <c r="M49" s="1">
        <f t="shared" si="6"/>
        <v>0</v>
      </c>
      <c r="N49" s="1">
        <f t="shared" si="6"/>
        <v>0</v>
      </c>
    </row>
    <row r="50" spans="1:14" x14ac:dyDescent="0.3">
      <c r="A50" s="2">
        <v>41</v>
      </c>
      <c r="B50" s="3">
        <f t="shared" si="5"/>
        <v>-72.390572390572189</v>
      </c>
      <c r="D50" s="1">
        <f t="shared" si="1"/>
        <v>0</v>
      </c>
      <c r="E50" s="1">
        <f t="shared" si="2"/>
        <v>0.80976430976430469</v>
      </c>
      <c r="F50" s="1">
        <f t="shared" si="3"/>
        <v>0.19023569023569528</v>
      </c>
      <c r="G50" s="1">
        <f t="shared" si="1"/>
        <v>0</v>
      </c>
      <c r="H50" s="1">
        <f t="shared" si="1"/>
        <v>0</v>
      </c>
      <c r="I50" s="1">
        <f t="shared" si="1"/>
        <v>0</v>
      </c>
      <c r="J50" s="1">
        <f t="shared" si="4"/>
        <v>0</v>
      </c>
      <c r="K50" s="1">
        <f t="shared" si="4"/>
        <v>0</v>
      </c>
      <c r="L50" s="1">
        <f t="shared" si="1"/>
        <v>0</v>
      </c>
      <c r="M50" s="1">
        <f t="shared" si="6"/>
        <v>0</v>
      </c>
      <c r="N50" s="1">
        <f t="shared" si="6"/>
        <v>0</v>
      </c>
    </row>
    <row r="51" spans="1:14" x14ac:dyDescent="0.3">
      <c r="A51" s="2">
        <v>42</v>
      </c>
      <c r="B51" s="3">
        <f t="shared" si="5"/>
        <v>-71.71717171717151</v>
      </c>
      <c r="D51" s="1">
        <f t="shared" si="1"/>
        <v>0</v>
      </c>
      <c r="E51" s="1">
        <f t="shared" si="2"/>
        <v>0.79292929292928771</v>
      </c>
      <c r="F51" s="1">
        <f t="shared" si="3"/>
        <v>0.20707070707071223</v>
      </c>
      <c r="G51" s="1">
        <f t="shared" si="1"/>
        <v>0</v>
      </c>
      <c r="H51" s="1">
        <f t="shared" si="1"/>
        <v>0</v>
      </c>
      <c r="I51" s="1">
        <f t="shared" si="1"/>
        <v>0</v>
      </c>
      <c r="J51" s="1">
        <f t="shared" si="4"/>
        <v>0</v>
      </c>
      <c r="K51" s="1">
        <f t="shared" si="4"/>
        <v>0</v>
      </c>
      <c r="L51" s="1">
        <f t="shared" si="1"/>
        <v>0</v>
      </c>
      <c r="M51" s="1">
        <f t="shared" si="6"/>
        <v>0</v>
      </c>
      <c r="N51" s="1">
        <f t="shared" si="6"/>
        <v>0</v>
      </c>
    </row>
    <row r="52" spans="1:14" x14ac:dyDescent="0.3">
      <c r="A52" s="2">
        <v>43</v>
      </c>
      <c r="B52" s="3">
        <f t="shared" si="5"/>
        <v>-71.043771043770832</v>
      </c>
      <c r="D52" s="1">
        <f t="shared" si="1"/>
        <v>0</v>
      </c>
      <c r="E52" s="1">
        <f t="shared" si="2"/>
        <v>0.77609427609427084</v>
      </c>
      <c r="F52" s="1">
        <f t="shared" si="3"/>
        <v>0.22390572390572921</v>
      </c>
      <c r="G52" s="1">
        <f t="shared" si="1"/>
        <v>0</v>
      </c>
      <c r="H52" s="1">
        <f t="shared" si="1"/>
        <v>0</v>
      </c>
      <c r="I52" s="1">
        <f t="shared" si="1"/>
        <v>0</v>
      </c>
      <c r="J52" s="1">
        <f t="shared" si="4"/>
        <v>0</v>
      </c>
      <c r="K52" s="1">
        <f t="shared" si="4"/>
        <v>0</v>
      </c>
      <c r="L52" s="1">
        <f t="shared" si="1"/>
        <v>0</v>
      </c>
      <c r="M52" s="1">
        <f t="shared" si="6"/>
        <v>0</v>
      </c>
      <c r="N52" s="1">
        <f t="shared" si="6"/>
        <v>0</v>
      </c>
    </row>
    <row r="53" spans="1:14" x14ac:dyDescent="0.3">
      <c r="A53" s="2">
        <v>44</v>
      </c>
      <c r="B53" s="3">
        <f t="shared" si="5"/>
        <v>-70.370370370370154</v>
      </c>
      <c r="D53" s="1">
        <f t="shared" si="1"/>
        <v>0</v>
      </c>
      <c r="E53" s="1">
        <f t="shared" si="2"/>
        <v>0.75925925925925386</v>
      </c>
      <c r="F53" s="1">
        <f t="shared" si="3"/>
        <v>0.24074074074074617</v>
      </c>
      <c r="G53" s="1">
        <f t="shared" si="1"/>
        <v>0</v>
      </c>
      <c r="H53" s="1">
        <f t="shared" si="1"/>
        <v>0</v>
      </c>
      <c r="I53" s="1">
        <f t="shared" si="1"/>
        <v>0</v>
      </c>
      <c r="J53" s="1">
        <f t="shared" si="4"/>
        <v>0</v>
      </c>
      <c r="K53" s="1">
        <f t="shared" si="4"/>
        <v>0</v>
      </c>
      <c r="L53" s="1">
        <f t="shared" si="1"/>
        <v>0</v>
      </c>
      <c r="M53" s="1">
        <f t="shared" si="6"/>
        <v>0</v>
      </c>
      <c r="N53" s="1">
        <f t="shared" si="6"/>
        <v>0</v>
      </c>
    </row>
    <row r="54" spans="1:14" x14ac:dyDescent="0.3">
      <c r="A54" s="2">
        <v>45</v>
      </c>
      <c r="B54" s="3">
        <f t="shared" si="5"/>
        <v>-69.696969696969475</v>
      </c>
      <c r="D54" s="1">
        <f t="shared" si="1"/>
        <v>0</v>
      </c>
      <c r="E54" s="1">
        <f t="shared" si="2"/>
        <v>0.74242424242423688</v>
      </c>
      <c r="F54" s="1">
        <f t="shared" si="3"/>
        <v>0.25757575757576312</v>
      </c>
      <c r="G54" s="1">
        <f t="shared" si="1"/>
        <v>0</v>
      </c>
      <c r="H54" s="1">
        <f t="shared" si="1"/>
        <v>0</v>
      </c>
      <c r="I54" s="1">
        <f t="shared" si="1"/>
        <v>0</v>
      </c>
      <c r="J54" s="1">
        <f t="shared" si="4"/>
        <v>0</v>
      </c>
      <c r="K54" s="1">
        <f t="shared" si="4"/>
        <v>0</v>
      </c>
      <c r="L54" s="1">
        <f t="shared" si="1"/>
        <v>0</v>
      </c>
      <c r="M54" s="1">
        <f t="shared" si="6"/>
        <v>0</v>
      </c>
      <c r="N54" s="1">
        <f t="shared" si="6"/>
        <v>0</v>
      </c>
    </row>
    <row r="55" spans="1:14" x14ac:dyDescent="0.3">
      <c r="A55" s="2">
        <v>46</v>
      </c>
      <c r="B55" s="3">
        <f t="shared" si="5"/>
        <v>-69.023569023568797</v>
      </c>
      <c r="D55" s="1">
        <f t="shared" si="1"/>
        <v>0</v>
      </c>
      <c r="E55" s="1">
        <f t="shared" si="2"/>
        <v>0.7255892255892199</v>
      </c>
      <c r="F55" s="1">
        <f t="shared" si="3"/>
        <v>0.2744107744107801</v>
      </c>
      <c r="G55" s="1">
        <f t="shared" si="1"/>
        <v>0</v>
      </c>
      <c r="H55" s="1">
        <f t="shared" si="1"/>
        <v>0</v>
      </c>
      <c r="I55" s="1">
        <f t="shared" si="1"/>
        <v>0</v>
      </c>
      <c r="J55" s="1">
        <f t="shared" si="4"/>
        <v>0</v>
      </c>
      <c r="K55" s="1">
        <f t="shared" si="4"/>
        <v>0</v>
      </c>
      <c r="L55" s="1">
        <f t="shared" si="1"/>
        <v>0</v>
      </c>
      <c r="M55" s="1">
        <f t="shared" si="6"/>
        <v>0</v>
      </c>
      <c r="N55" s="1">
        <f t="shared" si="6"/>
        <v>0</v>
      </c>
    </row>
    <row r="56" spans="1:14" x14ac:dyDescent="0.3">
      <c r="A56" s="2">
        <v>47</v>
      </c>
      <c r="B56" s="3">
        <f t="shared" si="5"/>
        <v>-68.350168350168119</v>
      </c>
      <c r="D56" s="1">
        <f t="shared" si="1"/>
        <v>0</v>
      </c>
      <c r="E56" s="1">
        <f t="shared" si="2"/>
        <v>0.70875420875420292</v>
      </c>
      <c r="F56" s="1">
        <f t="shared" si="3"/>
        <v>0.29124579124579703</v>
      </c>
      <c r="G56" s="1">
        <f t="shared" si="1"/>
        <v>0</v>
      </c>
      <c r="H56" s="1">
        <f t="shared" si="1"/>
        <v>0</v>
      </c>
      <c r="I56" s="1">
        <f t="shared" si="1"/>
        <v>0</v>
      </c>
      <c r="J56" s="1">
        <f t="shared" si="4"/>
        <v>0</v>
      </c>
      <c r="K56" s="1">
        <f t="shared" si="4"/>
        <v>0</v>
      </c>
      <c r="L56" s="1">
        <f t="shared" si="1"/>
        <v>0</v>
      </c>
      <c r="M56" s="1">
        <f t="shared" si="6"/>
        <v>0</v>
      </c>
      <c r="N56" s="1">
        <f t="shared" si="6"/>
        <v>0</v>
      </c>
    </row>
    <row r="57" spans="1:14" x14ac:dyDescent="0.3">
      <c r="A57" s="2">
        <v>48</v>
      </c>
      <c r="B57" s="3">
        <f t="shared" si="5"/>
        <v>-67.67676767676744</v>
      </c>
      <c r="D57" s="1">
        <f t="shared" si="1"/>
        <v>0</v>
      </c>
      <c r="E57" s="1">
        <f t="shared" si="2"/>
        <v>0.69191919191918605</v>
      </c>
      <c r="F57" s="1">
        <f t="shared" si="3"/>
        <v>0.30808080808081401</v>
      </c>
      <c r="G57" s="1">
        <f t="shared" si="1"/>
        <v>0</v>
      </c>
      <c r="H57" s="1">
        <f t="shared" si="1"/>
        <v>0</v>
      </c>
      <c r="I57" s="1">
        <f t="shared" si="1"/>
        <v>0</v>
      </c>
      <c r="J57" s="1">
        <f t="shared" si="4"/>
        <v>0</v>
      </c>
      <c r="K57" s="1">
        <f t="shared" si="4"/>
        <v>0</v>
      </c>
      <c r="L57" s="1">
        <f t="shared" si="1"/>
        <v>0</v>
      </c>
      <c r="M57" s="1">
        <f t="shared" si="6"/>
        <v>0</v>
      </c>
      <c r="N57" s="1">
        <f t="shared" si="6"/>
        <v>0</v>
      </c>
    </row>
    <row r="58" spans="1:14" x14ac:dyDescent="0.3">
      <c r="A58" s="2">
        <v>49</v>
      </c>
      <c r="B58" s="3">
        <f t="shared" si="5"/>
        <v>-67.003367003366762</v>
      </c>
      <c r="D58" s="1">
        <f t="shared" si="1"/>
        <v>0</v>
      </c>
      <c r="E58" s="1">
        <f t="shared" si="2"/>
        <v>0.67508417508416907</v>
      </c>
      <c r="F58" s="1">
        <f t="shared" si="3"/>
        <v>0.32491582491583093</v>
      </c>
      <c r="G58" s="1">
        <f t="shared" si="1"/>
        <v>0</v>
      </c>
      <c r="H58" s="1">
        <f t="shared" si="1"/>
        <v>0</v>
      </c>
      <c r="I58" s="1">
        <f t="shared" si="1"/>
        <v>0</v>
      </c>
      <c r="J58" s="1">
        <f t="shared" si="4"/>
        <v>0</v>
      </c>
      <c r="K58" s="1">
        <f t="shared" si="4"/>
        <v>0</v>
      </c>
      <c r="L58" s="1">
        <f t="shared" si="1"/>
        <v>0</v>
      </c>
      <c r="M58" s="1">
        <f t="shared" si="6"/>
        <v>0</v>
      </c>
      <c r="N58" s="1">
        <f t="shared" si="6"/>
        <v>0</v>
      </c>
    </row>
    <row r="59" spans="1:14" x14ac:dyDescent="0.3">
      <c r="A59" s="2">
        <v>50</v>
      </c>
      <c r="B59" s="3">
        <f t="shared" si="5"/>
        <v>-66.329966329966084</v>
      </c>
      <c r="D59" s="1">
        <f t="shared" si="1"/>
        <v>0</v>
      </c>
      <c r="E59" s="1">
        <f t="shared" si="2"/>
        <v>0.65824915824915209</v>
      </c>
      <c r="F59" s="1">
        <f t="shared" si="3"/>
        <v>0.34175084175084791</v>
      </c>
      <c r="G59" s="1">
        <f t="shared" si="1"/>
        <v>0</v>
      </c>
      <c r="H59" s="1">
        <f t="shared" si="1"/>
        <v>0</v>
      </c>
      <c r="I59" s="1">
        <f t="shared" si="1"/>
        <v>0</v>
      </c>
      <c r="J59" s="1">
        <f t="shared" si="4"/>
        <v>0</v>
      </c>
      <c r="K59" s="1">
        <f t="shared" si="4"/>
        <v>0</v>
      </c>
      <c r="L59" s="1">
        <f t="shared" si="1"/>
        <v>0</v>
      </c>
      <c r="M59" s="1">
        <f t="shared" si="6"/>
        <v>0</v>
      </c>
      <c r="N59" s="1">
        <f t="shared" si="6"/>
        <v>0</v>
      </c>
    </row>
    <row r="60" spans="1:14" x14ac:dyDescent="0.3">
      <c r="A60" s="2">
        <v>51</v>
      </c>
      <c r="B60" s="3">
        <f t="shared" si="5"/>
        <v>-65.656565656565405</v>
      </c>
      <c r="D60" s="1">
        <f t="shared" si="1"/>
        <v>0</v>
      </c>
      <c r="E60" s="1">
        <f t="shared" si="2"/>
        <v>0.64141414141413511</v>
      </c>
      <c r="F60" s="1">
        <f t="shared" si="3"/>
        <v>0.35858585858586489</v>
      </c>
      <c r="G60" s="1">
        <f t="shared" si="1"/>
        <v>0</v>
      </c>
      <c r="H60" s="1">
        <f t="shared" si="1"/>
        <v>0</v>
      </c>
      <c r="I60" s="1">
        <f t="shared" si="1"/>
        <v>0</v>
      </c>
      <c r="J60" s="1">
        <f t="shared" si="4"/>
        <v>0</v>
      </c>
      <c r="K60" s="1">
        <f t="shared" si="4"/>
        <v>0</v>
      </c>
      <c r="L60" s="1">
        <f t="shared" si="1"/>
        <v>0</v>
      </c>
      <c r="M60" s="1">
        <f t="shared" si="6"/>
        <v>0</v>
      </c>
      <c r="N60" s="1">
        <f t="shared" si="6"/>
        <v>0</v>
      </c>
    </row>
    <row r="61" spans="1:14" x14ac:dyDescent="0.3">
      <c r="A61" s="2">
        <v>52</v>
      </c>
      <c r="B61" s="3">
        <f t="shared" si="5"/>
        <v>-64.983164983164727</v>
      </c>
      <c r="D61" s="1">
        <f t="shared" ref="D61:L107" si="7">IF($B61&gt;D$5,0,IF($B61&gt;D$4,(D$5-$B61)/(D$5-D$4),IF($B61&gt;D$3,1,IF($B61&gt;D$2,($B61-D$2)/(D$3-D$2),0))))</f>
        <v>0</v>
      </c>
      <c r="E61" s="1">
        <f t="shared" si="2"/>
        <v>0.62457912457911813</v>
      </c>
      <c r="F61" s="1">
        <f t="shared" si="7"/>
        <v>0.37542087542088182</v>
      </c>
      <c r="G61" s="1">
        <f t="shared" si="7"/>
        <v>0</v>
      </c>
      <c r="H61" s="1">
        <f t="shared" si="7"/>
        <v>0</v>
      </c>
      <c r="I61" s="1">
        <f t="shared" si="7"/>
        <v>0</v>
      </c>
      <c r="J61" s="1">
        <f t="shared" si="4"/>
        <v>0</v>
      </c>
      <c r="K61" s="1">
        <f t="shared" si="4"/>
        <v>0</v>
      </c>
      <c r="L61" s="1">
        <f t="shared" si="7"/>
        <v>0</v>
      </c>
      <c r="M61" s="1">
        <f t="shared" si="6"/>
        <v>0</v>
      </c>
      <c r="N61" s="1">
        <f t="shared" si="6"/>
        <v>0</v>
      </c>
    </row>
    <row r="62" spans="1:14" x14ac:dyDescent="0.3">
      <c r="A62" s="2">
        <v>53</v>
      </c>
      <c r="B62" s="3">
        <f t="shared" si="5"/>
        <v>-64.309764309764049</v>
      </c>
      <c r="D62" s="1">
        <f t="shared" si="7"/>
        <v>0</v>
      </c>
      <c r="E62" s="1">
        <f t="shared" si="2"/>
        <v>0.60774410774410126</v>
      </c>
      <c r="F62" s="1">
        <f t="shared" si="7"/>
        <v>0.3922558922558988</v>
      </c>
      <c r="G62" s="1">
        <f t="shared" si="7"/>
        <v>0</v>
      </c>
      <c r="H62" s="1">
        <f t="shared" si="7"/>
        <v>0</v>
      </c>
      <c r="I62" s="1">
        <f t="shared" si="7"/>
        <v>0</v>
      </c>
      <c r="J62" s="1">
        <f t="shared" si="4"/>
        <v>0</v>
      </c>
      <c r="K62" s="1">
        <f t="shared" si="4"/>
        <v>0</v>
      </c>
      <c r="L62" s="1">
        <f t="shared" si="7"/>
        <v>0</v>
      </c>
      <c r="M62" s="1">
        <f t="shared" si="6"/>
        <v>0</v>
      </c>
      <c r="N62" s="1">
        <f t="shared" si="6"/>
        <v>0</v>
      </c>
    </row>
    <row r="63" spans="1:14" x14ac:dyDescent="0.3">
      <c r="A63" s="2">
        <v>54</v>
      </c>
      <c r="B63" s="3">
        <f t="shared" si="5"/>
        <v>-63.636363636363377</v>
      </c>
      <c r="D63" s="1">
        <f t="shared" si="7"/>
        <v>0</v>
      </c>
      <c r="E63" s="1">
        <f t="shared" si="2"/>
        <v>0.59090909090908439</v>
      </c>
      <c r="F63" s="1">
        <f t="shared" si="7"/>
        <v>0.40909090909091556</v>
      </c>
      <c r="G63" s="1">
        <f t="shared" si="7"/>
        <v>0</v>
      </c>
      <c r="H63" s="1">
        <f t="shared" si="7"/>
        <v>0</v>
      </c>
      <c r="I63" s="1">
        <f t="shared" si="7"/>
        <v>0</v>
      </c>
      <c r="J63" s="1">
        <f t="shared" si="4"/>
        <v>0</v>
      </c>
      <c r="K63" s="1">
        <f t="shared" si="4"/>
        <v>0</v>
      </c>
      <c r="L63" s="1">
        <f t="shared" si="7"/>
        <v>0</v>
      </c>
      <c r="M63" s="1">
        <f t="shared" si="6"/>
        <v>0</v>
      </c>
      <c r="N63" s="1">
        <f t="shared" si="6"/>
        <v>0</v>
      </c>
    </row>
    <row r="64" spans="1:14" x14ac:dyDescent="0.3">
      <c r="A64" s="2">
        <v>55</v>
      </c>
      <c r="B64" s="3">
        <f t="shared" si="5"/>
        <v>-62.962962962962706</v>
      </c>
      <c r="D64" s="1">
        <f t="shared" si="7"/>
        <v>0</v>
      </c>
      <c r="E64" s="1">
        <f t="shared" si="2"/>
        <v>0.57407407407406763</v>
      </c>
      <c r="F64" s="1">
        <f t="shared" si="7"/>
        <v>0.42592592592593237</v>
      </c>
      <c r="G64" s="1">
        <f t="shared" si="7"/>
        <v>0</v>
      </c>
      <c r="H64" s="1">
        <f t="shared" si="7"/>
        <v>0</v>
      </c>
      <c r="I64" s="1">
        <f t="shared" si="7"/>
        <v>0</v>
      </c>
      <c r="J64" s="1">
        <f t="shared" si="4"/>
        <v>0</v>
      </c>
      <c r="K64" s="1">
        <f t="shared" si="4"/>
        <v>0</v>
      </c>
      <c r="L64" s="1">
        <f t="shared" si="7"/>
        <v>0</v>
      </c>
      <c r="M64" s="1">
        <f t="shared" si="6"/>
        <v>0</v>
      </c>
      <c r="N64" s="1">
        <f t="shared" si="6"/>
        <v>0</v>
      </c>
    </row>
    <row r="65" spans="1:14" x14ac:dyDescent="0.3">
      <c r="A65" s="2">
        <v>56</v>
      </c>
      <c r="B65" s="3">
        <f t="shared" si="5"/>
        <v>-62.289562289562035</v>
      </c>
      <c r="D65" s="1">
        <f t="shared" si="7"/>
        <v>0</v>
      </c>
      <c r="E65" s="1">
        <f t="shared" si="2"/>
        <v>0.55723905723905087</v>
      </c>
      <c r="F65" s="1">
        <f t="shared" si="7"/>
        <v>0.44276094276094913</v>
      </c>
      <c r="G65" s="1">
        <f t="shared" si="7"/>
        <v>0</v>
      </c>
      <c r="H65" s="1">
        <f t="shared" si="7"/>
        <v>0</v>
      </c>
      <c r="I65" s="1">
        <f t="shared" si="7"/>
        <v>0</v>
      </c>
      <c r="J65" s="1">
        <f t="shared" si="4"/>
        <v>0</v>
      </c>
      <c r="K65" s="1">
        <f t="shared" si="4"/>
        <v>0</v>
      </c>
      <c r="L65" s="1">
        <f t="shared" si="7"/>
        <v>0</v>
      </c>
      <c r="M65" s="1">
        <f t="shared" si="6"/>
        <v>0</v>
      </c>
      <c r="N65" s="1">
        <f t="shared" si="6"/>
        <v>0</v>
      </c>
    </row>
    <row r="66" spans="1:14" x14ac:dyDescent="0.3">
      <c r="A66" s="2">
        <v>57</v>
      </c>
      <c r="B66" s="3">
        <f t="shared" si="5"/>
        <v>-61.616161616161364</v>
      </c>
      <c r="D66" s="1">
        <f t="shared" si="7"/>
        <v>0</v>
      </c>
      <c r="E66" s="1">
        <f t="shared" si="2"/>
        <v>0.54040404040403411</v>
      </c>
      <c r="F66" s="1">
        <f t="shared" si="7"/>
        <v>0.45959595959596589</v>
      </c>
      <c r="G66" s="1">
        <f t="shared" si="7"/>
        <v>0</v>
      </c>
      <c r="H66" s="1">
        <f t="shared" si="7"/>
        <v>0</v>
      </c>
      <c r="I66" s="1">
        <f t="shared" si="7"/>
        <v>0</v>
      </c>
      <c r="J66" s="1">
        <f t="shared" si="4"/>
        <v>0</v>
      </c>
      <c r="K66" s="1">
        <f t="shared" si="4"/>
        <v>0</v>
      </c>
      <c r="L66" s="1">
        <f t="shared" si="7"/>
        <v>0</v>
      </c>
      <c r="M66" s="1">
        <f t="shared" si="6"/>
        <v>0</v>
      </c>
      <c r="N66" s="1">
        <f t="shared" si="6"/>
        <v>0</v>
      </c>
    </row>
    <row r="67" spans="1:14" x14ac:dyDescent="0.3">
      <c r="A67" s="2">
        <v>58</v>
      </c>
      <c r="B67" s="3">
        <f t="shared" si="5"/>
        <v>-60.942760942760692</v>
      </c>
      <c r="D67" s="1">
        <f t="shared" si="7"/>
        <v>0</v>
      </c>
      <c r="E67" s="1">
        <f t="shared" si="2"/>
        <v>0.52356902356901736</v>
      </c>
      <c r="F67" s="1">
        <f t="shared" si="7"/>
        <v>0.4764309764309827</v>
      </c>
      <c r="G67" s="1">
        <f t="shared" si="7"/>
        <v>0</v>
      </c>
      <c r="H67" s="1">
        <f t="shared" si="7"/>
        <v>0</v>
      </c>
      <c r="I67" s="1">
        <f t="shared" si="7"/>
        <v>0</v>
      </c>
      <c r="J67" s="1">
        <f t="shared" si="4"/>
        <v>0</v>
      </c>
      <c r="K67" s="1">
        <f t="shared" si="4"/>
        <v>0</v>
      </c>
      <c r="L67" s="1">
        <f t="shared" si="7"/>
        <v>0</v>
      </c>
      <c r="M67" s="1">
        <f t="shared" si="6"/>
        <v>0</v>
      </c>
      <c r="N67" s="1">
        <f t="shared" si="6"/>
        <v>0</v>
      </c>
    </row>
    <row r="68" spans="1:14" x14ac:dyDescent="0.3">
      <c r="A68" s="2">
        <v>59</v>
      </c>
      <c r="B68" s="3">
        <f t="shared" si="5"/>
        <v>-60.269360269360021</v>
      </c>
      <c r="D68" s="1">
        <f t="shared" si="7"/>
        <v>0</v>
      </c>
      <c r="E68" s="1">
        <f t="shared" si="2"/>
        <v>0.50673400673400049</v>
      </c>
      <c r="F68" s="1">
        <f t="shared" si="7"/>
        <v>0.49326599326599946</v>
      </c>
      <c r="G68" s="1">
        <f t="shared" si="7"/>
        <v>0</v>
      </c>
      <c r="H68" s="1">
        <f t="shared" si="7"/>
        <v>0</v>
      </c>
      <c r="I68" s="1">
        <f t="shared" si="7"/>
        <v>0</v>
      </c>
      <c r="J68" s="1">
        <f t="shared" si="4"/>
        <v>0</v>
      </c>
      <c r="K68" s="1">
        <f t="shared" si="4"/>
        <v>0</v>
      </c>
      <c r="L68" s="1">
        <f t="shared" si="7"/>
        <v>0</v>
      </c>
      <c r="M68" s="1">
        <f t="shared" si="6"/>
        <v>0</v>
      </c>
      <c r="N68" s="1">
        <f t="shared" si="6"/>
        <v>0</v>
      </c>
    </row>
    <row r="69" spans="1:14" x14ac:dyDescent="0.3">
      <c r="A69" s="2">
        <v>60</v>
      </c>
      <c r="B69" s="3">
        <f t="shared" si="5"/>
        <v>-59.59595959595935</v>
      </c>
      <c r="D69" s="1">
        <f t="shared" si="7"/>
        <v>0</v>
      </c>
      <c r="E69" s="1">
        <f t="shared" si="2"/>
        <v>0.48989898989898373</v>
      </c>
      <c r="F69" s="1">
        <f t="shared" si="7"/>
        <v>0.51010101010101627</v>
      </c>
      <c r="G69" s="1">
        <f t="shared" si="7"/>
        <v>0</v>
      </c>
      <c r="H69" s="1">
        <f t="shared" si="7"/>
        <v>0</v>
      </c>
      <c r="I69" s="1">
        <f t="shared" si="7"/>
        <v>0</v>
      </c>
      <c r="J69" s="1">
        <f t="shared" si="4"/>
        <v>0</v>
      </c>
      <c r="K69" s="1">
        <f t="shared" si="4"/>
        <v>0</v>
      </c>
      <c r="L69" s="1">
        <f t="shared" si="7"/>
        <v>0</v>
      </c>
      <c r="M69" s="1">
        <f t="shared" si="6"/>
        <v>0</v>
      </c>
      <c r="N69" s="1">
        <f t="shared" si="6"/>
        <v>0</v>
      </c>
    </row>
    <row r="70" spans="1:14" x14ac:dyDescent="0.3">
      <c r="A70" s="2">
        <v>61</v>
      </c>
      <c r="B70" s="3">
        <f t="shared" si="5"/>
        <v>-58.922558922558679</v>
      </c>
      <c r="D70" s="1">
        <f t="shared" si="7"/>
        <v>0</v>
      </c>
      <c r="E70" s="1">
        <f t="shared" si="2"/>
        <v>0.47306397306396697</v>
      </c>
      <c r="F70" s="1">
        <f t="shared" si="7"/>
        <v>0.52693602693603303</v>
      </c>
      <c r="G70" s="1">
        <f t="shared" si="7"/>
        <v>0</v>
      </c>
      <c r="H70" s="1">
        <f t="shared" si="7"/>
        <v>0</v>
      </c>
      <c r="I70" s="1">
        <f t="shared" si="7"/>
        <v>0</v>
      </c>
      <c r="J70" s="1">
        <f t="shared" si="4"/>
        <v>0</v>
      </c>
      <c r="K70" s="1">
        <f t="shared" si="4"/>
        <v>0</v>
      </c>
      <c r="L70" s="1">
        <f t="shared" si="7"/>
        <v>0</v>
      </c>
      <c r="M70" s="1">
        <f t="shared" si="6"/>
        <v>0</v>
      </c>
      <c r="N70" s="1">
        <f t="shared" si="6"/>
        <v>0</v>
      </c>
    </row>
    <row r="71" spans="1:14" x14ac:dyDescent="0.3">
      <c r="A71" s="2">
        <v>62</v>
      </c>
      <c r="B71" s="3">
        <f t="shared" si="5"/>
        <v>-58.249158249158008</v>
      </c>
      <c r="D71" s="1">
        <f t="shared" si="7"/>
        <v>0</v>
      </c>
      <c r="E71" s="1">
        <f t="shared" si="2"/>
        <v>0.45622895622895021</v>
      </c>
      <c r="F71" s="1">
        <f t="shared" si="7"/>
        <v>0.54377104377104979</v>
      </c>
      <c r="G71" s="1">
        <f t="shared" si="7"/>
        <v>0</v>
      </c>
      <c r="H71" s="1">
        <f t="shared" si="7"/>
        <v>0</v>
      </c>
      <c r="I71" s="1">
        <f t="shared" si="7"/>
        <v>0</v>
      </c>
      <c r="J71" s="1">
        <f t="shared" si="4"/>
        <v>0</v>
      </c>
      <c r="K71" s="1">
        <f t="shared" si="4"/>
        <v>0</v>
      </c>
      <c r="L71" s="1">
        <f t="shared" si="7"/>
        <v>0</v>
      </c>
      <c r="M71" s="1">
        <f t="shared" si="6"/>
        <v>0</v>
      </c>
      <c r="N71" s="1">
        <f t="shared" si="6"/>
        <v>0</v>
      </c>
    </row>
    <row r="72" spans="1:14" x14ac:dyDescent="0.3">
      <c r="A72" s="2">
        <v>63</v>
      </c>
      <c r="B72" s="3">
        <f t="shared" si="5"/>
        <v>-57.575757575757336</v>
      </c>
      <c r="D72" s="1">
        <f t="shared" si="7"/>
        <v>0</v>
      </c>
      <c r="E72" s="1">
        <f t="shared" si="2"/>
        <v>0.4393939393939334</v>
      </c>
      <c r="F72" s="1">
        <f t="shared" si="7"/>
        <v>0.56060606060606655</v>
      </c>
      <c r="G72" s="1">
        <f t="shared" si="7"/>
        <v>0</v>
      </c>
      <c r="H72" s="1">
        <f t="shared" si="7"/>
        <v>0</v>
      </c>
      <c r="I72" s="1">
        <f t="shared" si="7"/>
        <v>0</v>
      </c>
      <c r="J72" s="1">
        <f t="shared" si="4"/>
        <v>0</v>
      </c>
      <c r="K72" s="1">
        <f t="shared" si="4"/>
        <v>0</v>
      </c>
      <c r="L72" s="1">
        <f t="shared" si="7"/>
        <v>0</v>
      </c>
      <c r="M72" s="1">
        <f t="shared" si="6"/>
        <v>0</v>
      </c>
      <c r="N72" s="1">
        <f t="shared" si="6"/>
        <v>0</v>
      </c>
    </row>
    <row r="73" spans="1:14" x14ac:dyDescent="0.3">
      <c r="A73" s="2">
        <v>64</v>
      </c>
      <c r="B73" s="3">
        <f t="shared" si="5"/>
        <v>-56.902356902356665</v>
      </c>
      <c r="D73" s="1">
        <f t="shared" si="7"/>
        <v>0</v>
      </c>
      <c r="E73" s="1">
        <f t="shared" si="2"/>
        <v>0.42255892255891664</v>
      </c>
      <c r="F73" s="1">
        <f t="shared" si="7"/>
        <v>0.57744107744108342</v>
      </c>
      <c r="G73" s="1">
        <f t="shared" si="7"/>
        <v>0</v>
      </c>
      <c r="H73" s="1">
        <f t="shared" si="7"/>
        <v>0</v>
      </c>
      <c r="I73" s="1">
        <f t="shared" si="7"/>
        <v>0</v>
      </c>
      <c r="J73" s="1">
        <f t="shared" si="4"/>
        <v>0</v>
      </c>
      <c r="K73" s="1">
        <f t="shared" si="4"/>
        <v>0</v>
      </c>
      <c r="L73" s="1">
        <f t="shared" si="7"/>
        <v>0</v>
      </c>
      <c r="M73" s="1">
        <f t="shared" si="6"/>
        <v>0</v>
      </c>
      <c r="N73" s="1">
        <f t="shared" si="6"/>
        <v>0</v>
      </c>
    </row>
    <row r="74" spans="1:14" x14ac:dyDescent="0.3">
      <c r="A74" s="2">
        <v>65</v>
      </c>
      <c r="B74" s="3">
        <f t="shared" si="5"/>
        <v>-56.228956228955994</v>
      </c>
      <c r="D74" s="1">
        <f t="shared" si="7"/>
        <v>0</v>
      </c>
      <c r="E74" s="1">
        <f t="shared" ref="E74:E107" si="8">IF($B74&gt;E$5,0,IF($B74&gt;E$4,(E$5-$B74)/(E$5-E$4),IF($B74&gt;E$3,1,IF($B74&gt;E$2,($B74-E$2)/(E$3-E$2),0))))</f>
        <v>0.40572390572389982</v>
      </c>
      <c r="F74" s="1">
        <f t="shared" si="7"/>
        <v>0.59427609427610018</v>
      </c>
      <c r="G74" s="1">
        <f t="shared" si="7"/>
        <v>0</v>
      </c>
      <c r="H74" s="1">
        <f t="shared" si="7"/>
        <v>0</v>
      </c>
      <c r="I74" s="1">
        <f t="shared" si="7"/>
        <v>0</v>
      </c>
      <c r="J74" s="1">
        <f t="shared" ref="J74:K107" si="9">IF($B74&gt;J$5,0,IF($B74&gt;J$4,(J$5-$B74)/(J$5-J$4),IF($B74&gt;J$3,1,IF($B74&gt;J$2,($B74-J$2)/(J$3-J$2),0))))</f>
        <v>0</v>
      </c>
      <c r="K74" s="1">
        <f t="shared" si="9"/>
        <v>0</v>
      </c>
      <c r="L74" s="1">
        <f t="shared" si="7"/>
        <v>0</v>
      </c>
      <c r="M74" s="1">
        <f t="shared" si="6"/>
        <v>0</v>
      </c>
      <c r="N74" s="1">
        <f t="shared" si="6"/>
        <v>0</v>
      </c>
    </row>
    <row r="75" spans="1:14" x14ac:dyDescent="0.3">
      <c r="A75" s="2">
        <v>66</v>
      </c>
      <c r="B75" s="3">
        <f t="shared" ref="B75:B138" si="10">B74+((B$306-B$9)/297)</f>
        <v>-55.555555555555323</v>
      </c>
      <c r="D75" s="1">
        <f t="shared" si="7"/>
        <v>0</v>
      </c>
      <c r="E75" s="1">
        <f t="shared" si="8"/>
        <v>0.38888888888888307</v>
      </c>
      <c r="F75" s="1">
        <f t="shared" si="7"/>
        <v>0.61111111111111693</v>
      </c>
      <c r="G75" s="1">
        <f t="shared" si="7"/>
        <v>0</v>
      </c>
      <c r="H75" s="1">
        <f t="shared" si="7"/>
        <v>0</v>
      </c>
      <c r="I75" s="1">
        <f t="shared" si="7"/>
        <v>0</v>
      </c>
      <c r="J75" s="1">
        <f t="shared" si="9"/>
        <v>0</v>
      </c>
      <c r="K75" s="1">
        <f t="shared" si="9"/>
        <v>0</v>
      </c>
      <c r="L75" s="1">
        <f t="shared" si="7"/>
        <v>0</v>
      </c>
      <c r="M75" s="1">
        <f t="shared" si="6"/>
        <v>0</v>
      </c>
      <c r="N75" s="1">
        <f t="shared" si="6"/>
        <v>0</v>
      </c>
    </row>
    <row r="76" spans="1:14" x14ac:dyDescent="0.3">
      <c r="A76" s="2">
        <v>67</v>
      </c>
      <c r="B76" s="3">
        <f t="shared" si="10"/>
        <v>-54.882154882154651</v>
      </c>
      <c r="D76" s="1">
        <f t="shared" si="7"/>
        <v>0</v>
      </c>
      <c r="E76" s="1">
        <f t="shared" si="8"/>
        <v>0.37205387205386631</v>
      </c>
      <c r="F76" s="1">
        <f t="shared" si="7"/>
        <v>0.62794612794613369</v>
      </c>
      <c r="G76" s="1">
        <f t="shared" si="7"/>
        <v>0</v>
      </c>
      <c r="H76" s="1">
        <f t="shared" si="7"/>
        <v>0</v>
      </c>
      <c r="I76" s="1">
        <f t="shared" si="7"/>
        <v>0</v>
      </c>
      <c r="J76" s="1">
        <f t="shared" si="9"/>
        <v>0</v>
      </c>
      <c r="K76" s="1">
        <f t="shared" si="9"/>
        <v>0</v>
      </c>
      <c r="L76" s="1">
        <f t="shared" si="7"/>
        <v>0</v>
      </c>
      <c r="M76" s="1">
        <f t="shared" si="6"/>
        <v>0</v>
      </c>
      <c r="N76" s="1">
        <f t="shared" si="6"/>
        <v>0</v>
      </c>
    </row>
    <row r="77" spans="1:14" x14ac:dyDescent="0.3">
      <c r="A77" s="2">
        <v>68</v>
      </c>
      <c r="B77" s="3">
        <f t="shared" si="10"/>
        <v>-54.20875420875398</v>
      </c>
      <c r="D77" s="1">
        <f t="shared" si="7"/>
        <v>0</v>
      </c>
      <c r="E77" s="1">
        <f t="shared" si="8"/>
        <v>0.35521885521884949</v>
      </c>
      <c r="F77" s="1">
        <f t="shared" si="7"/>
        <v>0.64478114478115045</v>
      </c>
      <c r="G77" s="1">
        <f t="shared" si="7"/>
        <v>0</v>
      </c>
      <c r="H77" s="1">
        <f t="shared" si="7"/>
        <v>0</v>
      </c>
      <c r="I77" s="1">
        <f t="shared" si="7"/>
        <v>0</v>
      </c>
      <c r="J77" s="1">
        <f t="shared" si="9"/>
        <v>0</v>
      </c>
      <c r="K77" s="1">
        <f t="shared" si="9"/>
        <v>0</v>
      </c>
      <c r="L77" s="1">
        <f t="shared" si="7"/>
        <v>0</v>
      </c>
      <c r="M77" s="1">
        <f t="shared" si="6"/>
        <v>0</v>
      </c>
      <c r="N77" s="1">
        <f t="shared" si="6"/>
        <v>0</v>
      </c>
    </row>
    <row r="78" spans="1:14" x14ac:dyDescent="0.3">
      <c r="A78" s="2">
        <v>69</v>
      </c>
      <c r="B78" s="3">
        <f t="shared" si="10"/>
        <v>-53.535353535353309</v>
      </c>
      <c r="D78" s="1">
        <f t="shared" si="7"/>
        <v>0</v>
      </c>
      <c r="E78" s="1">
        <f t="shared" si="8"/>
        <v>0.33838383838383274</v>
      </c>
      <c r="F78" s="1">
        <f t="shared" si="7"/>
        <v>0.66161616161616732</v>
      </c>
      <c r="G78" s="1">
        <f t="shared" si="7"/>
        <v>0</v>
      </c>
      <c r="H78" s="1">
        <f t="shared" si="7"/>
        <v>0</v>
      </c>
      <c r="I78" s="1">
        <f t="shared" si="7"/>
        <v>0</v>
      </c>
      <c r="J78" s="1">
        <f t="shared" si="9"/>
        <v>0</v>
      </c>
      <c r="K78" s="1">
        <f t="shared" si="9"/>
        <v>0</v>
      </c>
      <c r="L78" s="1">
        <f t="shared" si="7"/>
        <v>0</v>
      </c>
      <c r="M78" s="1">
        <f t="shared" si="6"/>
        <v>0</v>
      </c>
      <c r="N78" s="1">
        <f t="shared" si="6"/>
        <v>0</v>
      </c>
    </row>
    <row r="79" spans="1:14" x14ac:dyDescent="0.3">
      <c r="A79" s="2">
        <v>70</v>
      </c>
      <c r="B79" s="3">
        <f t="shared" si="10"/>
        <v>-52.861952861952638</v>
      </c>
      <c r="D79" s="1">
        <f t="shared" si="7"/>
        <v>0</v>
      </c>
      <c r="E79" s="1">
        <f t="shared" si="8"/>
        <v>0.32154882154881592</v>
      </c>
      <c r="F79" s="1">
        <f t="shared" si="7"/>
        <v>0.67845117845118408</v>
      </c>
      <c r="G79" s="1">
        <f t="shared" si="7"/>
        <v>0</v>
      </c>
      <c r="H79" s="1">
        <f t="shared" si="7"/>
        <v>0</v>
      </c>
      <c r="I79" s="1">
        <f t="shared" si="7"/>
        <v>0</v>
      </c>
      <c r="J79" s="1">
        <f t="shared" si="9"/>
        <v>0</v>
      </c>
      <c r="K79" s="1">
        <f t="shared" si="9"/>
        <v>0</v>
      </c>
      <c r="L79" s="1">
        <f t="shared" si="7"/>
        <v>0</v>
      </c>
      <c r="M79" s="1">
        <f t="shared" si="6"/>
        <v>0</v>
      </c>
      <c r="N79" s="1">
        <f t="shared" si="6"/>
        <v>0</v>
      </c>
    </row>
    <row r="80" spans="1:14" x14ac:dyDescent="0.3">
      <c r="A80" s="2">
        <v>71</v>
      </c>
      <c r="B80" s="3">
        <f t="shared" si="10"/>
        <v>-52.188552188551967</v>
      </c>
      <c r="D80" s="1">
        <f t="shared" si="7"/>
        <v>0</v>
      </c>
      <c r="E80" s="1">
        <f t="shared" si="8"/>
        <v>0.30471380471379916</v>
      </c>
      <c r="F80" s="1">
        <f t="shared" si="7"/>
        <v>0.69528619528620084</v>
      </c>
      <c r="G80" s="1">
        <f t="shared" si="7"/>
        <v>0</v>
      </c>
      <c r="H80" s="1">
        <f t="shared" si="7"/>
        <v>0</v>
      </c>
      <c r="I80" s="1">
        <f t="shared" si="7"/>
        <v>0</v>
      </c>
      <c r="J80" s="1">
        <f t="shared" si="9"/>
        <v>0</v>
      </c>
      <c r="K80" s="1">
        <f t="shared" si="9"/>
        <v>0</v>
      </c>
      <c r="L80" s="1">
        <f t="shared" si="7"/>
        <v>0</v>
      </c>
      <c r="M80" s="1">
        <f t="shared" si="6"/>
        <v>0</v>
      </c>
      <c r="N80" s="1">
        <f t="shared" si="6"/>
        <v>0</v>
      </c>
    </row>
    <row r="81" spans="1:14" x14ac:dyDescent="0.3">
      <c r="A81" s="2">
        <v>72</v>
      </c>
      <c r="B81" s="3">
        <f t="shared" si="10"/>
        <v>-51.515151515151295</v>
      </c>
      <c r="D81" s="1">
        <f t="shared" si="7"/>
        <v>0</v>
      </c>
      <c r="E81" s="1">
        <f t="shared" si="8"/>
        <v>0.28787878787878241</v>
      </c>
      <c r="F81" s="1">
        <f t="shared" ref="F81:F107" si="11">IF($B81&gt;F$5,0,IF($B81&gt;F$4,(F$5-$B81)/(F$5-F$4),IF($B81&gt;F$3,1,IF($B81&gt;F$2,($B81-F$2)/(F$3-F$2),0))))</f>
        <v>0.71212121212121759</v>
      </c>
      <c r="G81" s="1">
        <f t="shared" si="7"/>
        <v>0</v>
      </c>
      <c r="H81" s="1">
        <f t="shared" si="7"/>
        <v>0</v>
      </c>
      <c r="I81" s="1">
        <f t="shared" si="7"/>
        <v>0</v>
      </c>
      <c r="J81" s="1">
        <f t="shared" si="9"/>
        <v>0</v>
      </c>
      <c r="K81" s="1">
        <f t="shared" si="9"/>
        <v>0</v>
      </c>
      <c r="L81" s="1">
        <f t="shared" si="7"/>
        <v>0</v>
      </c>
      <c r="M81" s="1">
        <f t="shared" si="6"/>
        <v>0</v>
      </c>
      <c r="N81" s="1">
        <f t="shared" si="6"/>
        <v>0</v>
      </c>
    </row>
    <row r="82" spans="1:14" x14ac:dyDescent="0.3">
      <c r="A82" s="2">
        <v>73</v>
      </c>
      <c r="B82" s="3">
        <f t="shared" si="10"/>
        <v>-50.841750841750624</v>
      </c>
      <c r="D82" s="1">
        <f t="shared" si="7"/>
        <v>0</v>
      </c>
      <c r="E82" s="1">
        <f t="shared" si="8"/>
        <v>0.27104377104376559</v>
      </c>
      <c r="F82" s="1">
        <f t="shared" si="11"/>
        <v>0.72895622895623435</v>
      </c>
      <c r="G82" s="1">
        <f t="shared" si="7"/>
        <v>0</v>
      </c>
      <c r="H82" s="1">
        <f t="shared" si="7"/>
        <v>0</v>
      </c>
      <c r="I82" s="1">
        <f t="shared" si="7"/>
        <v>0</v>
      </c>
      <c r="J82" s="1">
        <f t="shared" si="9"/>
        <v>0</v>
      </c>
      <c r="K82" s="1">
        <f t="shared" si="9"/>
        <v>0</v>
      </c>
      <c r="L82" s="1">
        <f t="shared" si="7"/>
        <v>0</v>
      </c>
      <c r="M82" s="1">
        <f t="shared" si="6"/>
        <v>0</v>
      </c>
      <c r="N82" s="1">
        <f t="shared" si="6"/>
        <v>0</v>
      </c>
    </row>
    <row r="83" spans="1:14" x14ac:dyDescent="0.3">
      <c r="A83" s="2">
        <v>74</v>
      </c>
      <c r="B83" s="3">
        <f t="shared" si="10"/>
        <v>-50.168350168349953</v>
      </c>
      <c r="D83" s="1">
        <f t="shared" si="7"/>
        <v>0</v>
      </c>
      <c r="E83" s="1">
        <f t="shared" si="8"/>
        <v>0.25420875420874883</v>
      </c>
      <c r="F83" s="1">
        <f t="shared" si="11"/>
        <v>0.74579124579125122</v>
      </c>
      <c r="G83" s="1">
        <f t="shared" si="7"/>
        <v>0</v>
      </c>
      <c r="H83" s="1">
        <f t="shared" si="7"/>
        <v>0</v>
      </c>
      <c r="I83" s="1">
        <f t="shared" si="7"/>
        <v>0</v>
      </c>
      <c r="J83" s="1">
        <f t="shared" si="9"/>
        <v>0</v>
      </c>
      <c r="K83" s="1">
        <f t="shared" si="9"/>
        <v>0</v>
      </c>
      <c r="L83" s="1">
        <f t="shared" si="7"/>
        <v>0</v>
      </c>
      <c r="M83" s="1">
        <f t="shared" si="6"/>
        <v>0</v>
      </c>
      <c r="N83" s="1">
        <f t="shared" si="6"/>
        <v>0</v>
      </c>
    </row>
    <row r="84" spans="1:14" x14ac:dyDescent="0.3">
      <c r="A84" s="2">
        <v>75</v>
      </c>
      <c r="B84" s="3">
        <f t="shared" si="10"/>
        <v>-49.494949494949282</v>
      </c>
      <c r="D84" s="1">
        <f t="shared" si="7"/>
        <v>0</v>
      </c>
      <c r="E84" s="1">
        <f t="shared" si="8"/>
        <v>0.23737373737373205</v>
      </c>
      <c r="F84" s="1">
        <f t="shared" si="11"/>
        <v>0.76262626262626798</v>
      </c>
      <c r="G84" s="1">
        <f t="shared" si="7"/>
        <v>0</v>
      </c>
      <c r="H84" s="1">
        <f t="shared" si="7"/>
        <v>0</v>
      </c>
      <c r="I84" s="1">
        <f t="shared" si="7"/>
        <v>0</v>
      </c>
      <c r="J84" s="1">
        <f t="shared" si="9"/>
        <v>0</v>
      </c>
      <c r="K84" s="1">
        <f t="shared" si="9"/>
        <v>0</v>
      </c>
      <c r="L84" s="1">
        <f t="shared" si="7"/>
        <v>0</v>
      </c>
      <c r="M84" s="1">
        <f t="shared" si="6"/>
        <v>0</v>
      </c>
      <c r="N84" s="1">
        <f t="shared" si="6"/>
        <v>0</v>
      </c>
    </row>
    <row r="85" spans="1:14" x14ac:dyDescent="0.3">
      <c r="A85" s="2">
        <v>76</v>
      </c>
      <c r="B85" s="3">
        <f t="shared" si="10"/>
        <v>-48.82154882154861</v>
      </c>
      <c r="D85" s="1">
        <f t="shared" si="7"/>
        <v>0</v>
      </c>
      <c r="E85" s="1">
        <f t="shared" si="8"/>
        <v>0.22053872053871526</v>
      </c>
      <c r="F85" s="1">
        <f t="shared" si="11"/>
        <v>0.77946127946128474</v>
      </c>
      <c r="G85" s="1">
        <f t="shared" si="7"/>
        <v>0</v>
      </c>
      <c r="H85" s="1">
        <f t="shared" si="7"/>
        <v>0</v>
      </c>
      <c r="I85" s="1">
        <f t="shared" si="7"/>
        <v>0</v>
      </c>
      <c r="J85" s="1">
        <f t="shared" si="9"/>
        <v>0</v>
      </c>
      <c r="K85" s="1">
        <f t="shared" si="9"/>
        <v>0</v>
      </c>
      <c r="L85" s="1">
        <f t="shared" si="7"/>
        <v>0</v>
      </c>
      <c r="M85" s="1">
        <f t="shared" si="6"/>
        <v>0</v>
      </c>
      <c r="N85" s="1">
        <f t="shared" si="6"/>
        <v>0</v>
      </c>
    </row>
    <row r="86" spans="1:14" x14ac:dyDescent="0.3">
      <c r="A86" s="2">
        <v>77</v>
      </c>
      <c r="B86" s="3">
        <f t="shared" si="10"/>
        <v>-48.148148148147939</v>
      </c>
      <c r="D86" s="1">
        <f t="shared" si="7"/>
        <v>0</v>
      </c>
      <c r="E86" s="1">
        <f t="shared" si="8"/>
        <v>0.20370370370369847</v>
      </c>
      <c r="F86" s="1">
        <f t="shared" si="11"/>
        <v>0.7962962962963015</v>
      </c>
      <c r="G86" s="1">
        <f t="shared" si="7"/>
        <v>0</v>
      </c>
      <c r="H86" s="1">
        <f t="shared" si="7"/>
        <v>0</v>
      </c>
      <c r="I86" s="1">
        <f t="shared" si="7"/>
        <v>0</v>
      </c>
      <c r="J86" s="1">
        <f t="shared" si="9"/>
        <v>0</v>
      </c>
      <c r="K86" s="1">
        <f t="shared" si="9"/>
        <v>0</v>
      </c>
      <c r="L86" s="1">
        <f t="shared" si="7"/>
        <v>0</v>
      </c>
      <c r="M86" s="1">
        <f t="shared" si="6"/>
        <v>0</v>
      </c>
      <c r="N86" s="1">
        <f t="shared" si="6"/>
        <v>0</v>
      </c>
    </row>
    <row r="87" spans="1:14" x14ac:dyDescent="0.3">
      <c r="A87" s="2">
        <v>78</v>
      </c>
      <c r="B87" s="3">
        <f t="shared" si="10"/>
        <v>-47.474747474747268</v>
      </c>
      <c r="D87" s="1">
        <f t="shared" si="7"/>
        <v>0</v>
      </c>
      <c r="E87" s="1">
        <f t="shared" si="8"/>
        <v>0.18686868686868169</v>
      </c>
      <c r="F87" s="1">
        <f t="shared" si="11"/>
        <v>0.81313131313131826</v>
      </c>
      <c r="G87" s="1">
        <f t="shared" si="7"/>
        <v>0</v>
      </c>
      <c r="H87" s="1">
        <f t="shared" si="7"/>
        <v>0</v>
      </c>
      <c r="I87" s="1">
        <f t="shared" si="7"/>
        <v>0</v>
      </c>
      <c r="J87" s="1">
        <f t="shared" si="9"/>
        <v>0</v>
      </c>
      <c r="K87" s="1">
        <f t="shared" si="9"/>
        <v>0</v>
      </c>
      <c r="L87" s="1">
        <f t="shared" si="7"/>
        <v>0</v>
      </c>
      <c r="M87" s="1">
        <f t="shared" si="6"/>
        <v>0</v>
      </c>
      <c r="N87" s="1">
        <f t="shared" si="6"/>
        <v>0</v>
      </c>
    </row>
    <row r="88" spans="1:14" x14ac:dyDescent="0.3">
      <c r="A88" s="2">
        <v>79</v>
      </c>
      <c r="B88" s="3">
        <f t="shared" si="10"/>
        <v>-46.801346801346597</v>
      </c>
      <c r="D88" s="1">
        <f t="shared" si="7"/>
        <v>0</v>
      </c>
      <c r="E88" s="1">
        <f t="shared" si="8"/>
        <v>0.17003367003366493</v>
      </c>
      <c r="F88" s="1">
        <f t="shared" si="11"/>
        <v>0.82996632996633513</v>
      </c>
      <c r="G88" s="1">
        <f t="shared" si="7"/>
        <v>0</v>
      </c>
      <c r="H88" s="1">
        <f t="shared" si="7"/>
        <v>0</v>
      </c>
      <c r="I88" s="1">
        <f t="shared" si="7"/>
        <v>0</v>
      </c>
      <c r="J88" s="1">
        <f t="shared" si="9"/>
        <v>0</v>
      </c>
      <c r="K88" s="1">
        <f t="shared" si="9"/>
        <v>0</v>
      </c>
      <c r="L88" s="1">
        <f t="shared" si="7"/>
        <v>0</v>
      </c>
      <c r="M88" s="1">
        <f t="shared" si="6"/>
        <v>0</v>
      </c>
      <c r="N88" s="1">
        <f t="shared" si="6"/>
        <v>0</v>
      </c>
    </row>
    <row r="89" spans="1:14" x14ac:dyDescent="0.3">
      <c r="A89" s="2">
        <v>80</v>
      </c>
      <c r="B89" s="3">
        <f t="shared" si="10"/>
        <v>-46.127946127945926</v>
      </c>
      <c r="D89" s="1">
        <f t="shared" si="7"/>
        <v>0</v>
      </c>
      <c r="E89" s="1">
        <f t="shared" si="8"/>
        <v>0.15319865319864814</v>
      </c>
      <c r="F89" s="1">
        <f t="shared" si="11"/>
        <v>0.84680134680135188</v>
      </c>
      <c r="G89" s="1">
        <f t="shared" si="7"/>
        <v>0</v>
      </c>
      <c r="H89" s="1">
        <f t="shared" si="7"/>
        <v>0</v>
      </c>
      <c r="I89" s="1">
        <f t="shared" si="7"/>
        <v>0</v>
      </c>
      <c r="J89" s="1">
        <f t="shared" si="9"/>
        <v>0</v>
      </c>
      <c r="K89" s="1">
        <f t="shared" si="9"/>
        <v>0</v>
      </c>
      <c r="L89" s="1">
        <f t="shared" si="7"/>
        <v>0</v>
      </c>
      <c r="M89" s="1">
        <f t="shared" ref="M89:N107" si="12">IF($B89&gt;M$5,0,IF($B89&gt;M$4,(M$5-$B89)/(M$5-M$4),IF($B89&gt;M$3,1,IF($B89&gt;M$2,($B89-M$2)/(M$3-M$2),0))))</f>
        <v>0</v>
      </c>
      <c r="N89" s="1">
        <f t="shared" si="12"/>
        <v>0</v>
      </c>
    </row>
    <row r="90" spans="1:14" x14ac:dyDescent="0.3">
      <c r="A90" s="2">
        <v>81</v>
      </c>
      <c r="B90" s="3">
        <f t="shared" si="10"/>
        <v>-45.454545454545254</v>
      </c>
      <c r="D90" s="1">
        <f t="shared" si="7"/>
        <v>0</v>
      </c>
      <c r="E90" s="1">
        <f t="shared" si="8"/>
        <v>0.13636363636363136</v>
      </c>
      <c r="F90" s="1">
        <f t="shared" si="11"/>
        <v>0.86363636363636864</v>
      </c>
      <c r="G90" s="1">
        <f t="shared" si="7"/>
        <v>0</v>
      </c>
      <c r="H90" s="1">
        <f t="shared" si="7"/>
        <v>0</v>
      </c>
      <c r="I90" s="1">
        <f t="shared" si="7"/>
        <v>0</v>
      </c>
      <c r="J90" s="1">
        <f t="shared" si="9"/>
        <v>0</v>
      </c>
      <c r="K90" s="1">
        <f t="shared" si="9"/>
        <v>0</v>
      </c>
      <c r="L90" s="1">
        <f t="shared" si="7"/>
        <v>0</v>
      </c>
      <c r="M90" s="1">
        <f t="shared" si="12"/>
        <v>0</v>
      </c>
      <c r="N90" s="1">
        <f t="shared" si="12"/>
        <v>0</v>
      </c>
    </row>
    <row r="91" spans="1:14" x14ac:dyDescent="0.3">
      <c r="A91" s="2">
        <v>82</v>
      </c>
      <c r="B91" s="3">
        <f t="shared" si="10"/>
        <v>-44.781144781144583</v>
      </c>
      <c r="D91" s="1">
        <f t="shared" si="7"/>
        <v>0</v>
      </c>
      <c r="E91" s="1">
        <f t="shared" si="8"/>
        <v>0.11952861952861457</v>
      </c>
      <c r="F91" s="1">
        <f t="shared" si="11"/>
        <v>0.8804713804713854</v>
      </c>
      <c r="G91" s="1">
        <f t="shared" si="7"/>
        <v>0</v>
      </c>
      <c r="H91" s="1">
        <f t="shared" si="7"/>
        <v>0</v>
      </c>
      <c r="I91" s="1">
        <f t="shared" si="7"/>
        <v>0</v>
      </c>
      <c r="J91" s="1">
        <f t="shared" si="9"/>
        <v>0</v>
      </c>
      <c r="K91" s="1">
        <f t="shared" si="9"/>
        <v>0</v>
      </c>
      <c r="L91" s="1">
        <f t="shared" si="7"/>
        <v>0</v>
      </c>
      <c r="M91" s="1">
        <f t="shared" si="12"/>
        <v>0</v>
      </c>
      <c r="N91" s="1">
        <f t="shared" si="12"/>
        <v>0</v>
      </c>
    </row>
    <row r="92" spans="1:14" x14ac:dyDescent="0.3">
      <c r="A92" s="2">
        <v>83</v>
      </c>
      <c r="B92" s="3">
        <f t="shared" si="10"/>
        <v>-44.107744107743912</v>
      </c>
      <c r="D92" s="1">
        <f t="shared" si="7"/>
        <v>0</v>
      </c>
      <c r="E92" s="1">
        <f t="shared" si="8"/>
        <v>0.1026936026935978</v>
      </c>
      <c r="F92" s="1">
        <f t="shared" si="11"/>
        <v>0.89730639730640216</v>
      </c>
      <c r="G92" s="1">
        <f t="shared" si="7"/>
        <v>0</v>
      </c>
      <c r="H92" s="1">
        <f t="shared" si="7"/>
        <v>0</v>
      </c>
      <c r="I92" s="1">
        <f t="shared" si="7"/>
        <v>0</v>
      </c>
      <c r="J92" s="1">
        <f t="shared" si="9"/>
        <v>0</v>
      </c>
      <c r="K92" s="1">
        <f t="shared" si="9"/>
        <v>0</v>
      </c>
      <c r="L92" s="1">
        <f t="shared" si="7"/>
        <v>0</v>
      </c>
      <c r="M92" s="1">
        <f t="shared" si="12"/>
        <v>0</v>
      </c>
      <c r="N92" s="1">
        <f t="shared" si="12"/>
        <v>0</v>
      </c>
    </row>
    <row r="93" spans="1:14" x14ac:dyDescent="0.3">
      <c r="A93" s="2">
        <v>84</v>
      </c>
      <c r="B93" s="3">
        <f t="shared" si="10"/>
        <v>-43.434343434343241</v>
      </c>
      <c r="D93" s="1">
        <f t="shared" si="7"/>
        <v>0</v>
      </c>
      <c r="E93" s="1">
        <f t="shared" si="8"/>
        <v>8.5858585858581013E-2</v>
      </c>
      <c r="F93" s="1">
        <f t="shared" si="11"/>
        <v>0.91414141414141903</v>
      </c>
      <c r="G93" s="1">
        <f t="shared" si="7"/>
        <v>0</v>
      </c>
      <c r="H93" s="1">
        <f t="shared" si="7"/>
        <v>0</v>
      </c>
      <c r="I93" s="1">
        <f t="shared" si="7"/>
        <v>0</v>
      </c>
      <c r="J93" s="1">
        <f t="shared" si="9"/>
        <v>0</v>
      </c>
      <c r="K93" s="1">
        <f t="shared" si="9"/>
        <v>0</v>
      </c>
      <c r="L93" s="1">
        <f t="shared" si="7"/>
        <v>0</v>
      </c>
      <c r="M93" s="1">
        <f t="shared" si="12"/>
        <v>0</v>
      </c>
      <c r="N93" s="1">
        <f t="shared" si="12"/>
        <v>0</v>
      </c>
    </row>
    <row r="94" spans="1:14" x14ac:dyDescent="0.3">
      <c r="A94" s="2">
        <v>85</v>
      </c>
      <c r="B94" s="3">
        <f t="shared" si="10"/>
        <v>-42.760942760942569</v>
      </c>
      <c r="D94" s="1">
        <f t="shared" si="7"/>
        <v>0</v>
      </c>
      <c r="E94" s="1">
        <f t="shared" si="8"/>
        <v>6.9023569023564241E-2</v>
      </c>
      <c r="F94" s="1">
        <f t="shared" si="11"/>
        <v>0.93097643097643579</v>
      </c>
      <c r="G94" s="1">
        <f t="shared" si="7"/>
        <v>0</v>
      </c>
      <c r="H94" s="1">
        <f t="shared" si="7"/>
        <v>0</v>
      </c>
      <c r="I94" s="1">
        <f t="shared" si="7"/>
        <v>0</v>
      </c>
      <c r="J94" s="1">
        <f t="shared" si="9"/>
        <v>0</v>
      </c>
      <c r="K94" s="1">
        <f t="shared" si="9"/>
        <v>0</v>
      </c>
      <c r="L94" s="1">
        <f t="shared" si="7"/>
        <v>0</v>
      </c>
      <c r="M94" s="1">
        <f t="shared" si="12"/>
        <v>0</v>
      </c>
      <c r="N94" s="1">
        <f t="shared" si="12"/>
        <v>0</v>
      </c>
    </row>
    <row r="95" spans="1:14" x14ac:dyDescent="0.3">
      <c r="A95" s="2">
        <v>86</v>
      </c>
      <c r="B95" s="3">
        <f t="shared" si="10"/>
        <v>-42.087542087541898</v>
      </c>
      <c r="D95" s="1">
        <f t="shared" si="7"/>
        <v>0</v>
      </c>
      <c r="E95" s="1">
        <f t="shared" si="8"/>
        <v>5.2188552188547455E-2</v>
      </c>
      <c r="F95" s="1">
        <f t="shared" si="11"/>
        <v>0.94781144781145255</v>
      </c>
      <c r="G95" s="1">
        <f t="shared" si="7"/>
        <v>0</v>
      </c>
      <c r="H95" s="1">
        <f t="shared" si="7"/>
        <v>0</v>
      </c>
      <c r="I95" s="1">
        <f t="shared" si="7"/>
        <v>0</v>
      </c>
      <c r="J95" s="1">
        <f t="shared" si="9"/>
        <v>0</v>
      </c>
      <c r="K95" s="1">
        <f t="shared" si="9"/>
        <v>0</v>
      </c>
      <c r="L95" s="1">
        <f t="shared" si="7"/>
        <v>0</v>
      </c>
      <c r="M95" s="1">
        <f t="shared" si="12"/>
        <v>0</v>
      </c>
      <c r="N95" s="1">
        <f t="shared" si="12"/>
        <v>0</v>
      </c>
    </row>
    <row r="96" spans="1:14" x14ac:dyDescent="0.3">
      <c r="A96" s="2">
        <v>87</v>
      </c>
      <c r="B96" s="3">
        <f t="shared" si="10"/>
        <v>-41.414141414141227</v>
      </c>
      <c r="D96" s="1">
        <f t="shared" si="7"/>
        <v>0</v>
      </c>
      <c r="E96" s="1">
        <f t="shared" si="8"/>
        <v>3.5353535353530675E-2</v>
      </c>
      <c r="F96" s="1">
        <f t="shared" si="11"/>
        <v>0.9646464646464693</v>
      </c>
      <c r="G96" s="1">
        <f t="shared" si="7"/>
        <v>0</v>
      </c>
      <c r="H96" s="1">
        <f t="shared" si="7"/>
        <v>0</v>
      </c>
      <c r="I96" s="1">
        <f t="shared" si="7"/>
        <v>0</v>
      </c>
      <c r="J96" s="1">
        <f t="shared" si="9"/>
        <v>0</v>
      </c>
      <c r="K96" s="1">
        <f t="shared" si="9"/>
        <v>0</v>
      </c>
      <c r="L96" s="1">
        <f t="shared" si="7"/>
        <v>0</v>
      </c>
      <c r="M96" s="1">
        <f t="shared" si="12"/>
        <v>0</v>
      </c>
      <c r="N96" s="1">
        <f t="shared" si="12"/>
        <v>0</v>
      </c>
    </row>
    <row r="97" spans="1:14" x14ac:dyDescent="0.3">
      <c r="A97" s="2">
        <v>88</v>
      </c>
      <c r="B97" s="3">
        <f t="shared" si="10"/>
        <v>-40.740740740740556</v>
      </c>
      <c r="D97" s="1">
        <f t="shared" si="7"/>
        <v>0</v>
      </c>
      <c r="E97" s="1">
        <f t="shared" si="8"/>
        <v>1.8518518518513893E-2</v>
      </c>
      <c r="F97" s="1">
        <f t="shared" si="11"/>
        <v>0.98148148148148606</v>
      </c>
      <c r="G97" s="1">
        <f t="shared" si="7"/>
        <v>0</v>
      </c>
      <c r="H97" s="1">
        <f t="shared" si="7"/>
        <v>0</v>
      </c>
      <c r="I97" s="1">
        <f t="shared" si="7"/>
        <v>0</v>
      </c>
      <c r="J97" s="1">
        <f t="shared" si="9"/>
        <v>0</v>
      </c>
      <c r="K97" s="1">
        <f t="shared" si="9"/>
        <v>0</v>
      </c>
      <c r="L97" s="1">
        <f t="shared" si="7"/>
        <v>0</v>
      </c>
      <c r="M97" s="1">
        <f t="shared" si="12"/>
        <v>0</v>
      </c>
      <c r="N97" s="1">
        <f t="shared" si="12"/>
        <v>0</v>
      </c>
    </row>
    <row r="98" spans="1:14" x14ac:dyDescent="0.3">
      <c r="A98" s="2">
        <v>89</v>
      </c>
      <c r="B98" s="3">
        <f t="shared" si="10"/>
        <v>-40.067340067339885</v>
      </c>
      <c r="D98" s="1">
        <f t="shared" si="7"/>
        <v>0</v>
      </c>
      <c r="E98" s="1">
        <f t="shared" si="8"/>
        <v>1.6835016834971129E-3</v>
      </c>
      <c r="F98" s="1">
        <f t="shared" si="11"/>
        <v>0.99831649831650293</v>
      </c>
      <c r="G98" s="1">
        <f t="shared" si="7"/>
        <v>0</v>
      </c>
      <c r="H98" s="1">
        <f t="shared" si="7"/>
        <v>0</v>
      </c>
      <c r="I98" s="1">
        <f t="shared" si="7"/>
        <v>0</v>
      </c>
      <c r="J98" s="1">
        <f t="shared" si="9"/>
        <v>0</v>
      </c>
      <c r="K98" s="1">
        <f t="shared" si="9"/>
        <v>0</v>
      </c>
      <c r="L98" s="1">
        <f t="shared" si="7"/>
        <v>0</v>
      </c>
      <c r="M98" s="1">
        <f t="shared" si="12"/>
        <v>0</v>
      </c>
      <c r="N98" s="1">
        <f t="shared" si="12"/>
        <v>0</v>
      </c>
    </row>
    <row r="99" spans="1:14" x14ac:dyDescent="0.3">
      <c r="A99" s="2">
        <v>90</v>
      </c>
      <c r="B99" s="3">
        <f t="shared" si="10"/>
        <v>-39.393939393939213</v>
      </c>
      <c r="D99" s="1">
        <f t="shared" si="7"/>
        <v>0</v>
      </c>
      <c r="E99" s="1">
        <f t="shared" si="8"/>
        <v>0</v>
      </c>
      <c r="F99" s="1">
        <f t="shared" si="11"/>
        <v>0.93939393939392135</v>
      </c>
      <c r="G99" s="1">
        <f t="shared" si="7"/>
        <v>6.060606060607867E-2</v>
      </c>
      <c r="H99" s="1">
        <f t="shared" si="7"/>
        <v>0</v>
      </c>
      <c r="I99" s="1">
        <f t="shared" si="7"/>
        <v>0</v>
      </c>
      <c r="J99" s="1">
        <f t="shared" si="9"/>
        <v>0</v>
      </c>
      <c r="K99" s="1">
        <f t="shared" si="9"/>
        <v>0</v>
      </c>
      <c r="L99" s="1">
        <f t="shared" si="7"/>
        <v>0</v>
      </c>
      <c r="M99" s="1">
        <f t="shared" si="12"/>
        <v>0</v>
      </c>
      <c r="N99" s="1">
        <f t="shared" si="12"/>
        <v>0</v>
      </c>
    </row>
    <row r="100" spans="1:14" x14ac:dyDescent="0.3">
      <c r="A100" s="2">
        <v>91</v>
      </c>
      <c r="B100" s="3">
        <f t="shared" si="10"/>
        <v>-38.720538720538542</v>
      </c>
      <c r="D100" s="1">
        <f t="shared" si="7"/>
        <v>0</v>
      </c>
      <c r="E100" s="1">
        <f t="shared" si="8"/>
        <v>0</v>
      </c>
      <c r="F100" s="1">
        <f t="shared" si="11"/>
        <v>0.87205387205385421</v>
      </c>
      <c r="G100" s="1">
        <f t="shared" si="7"/>
        <v>0.12794612794614579</v>
      </c>
      <c r="H100" s="1">
        <f t="shared" si="7"/>
        <v>0</v>
      </c>
      <c r="I100" s="1">
        <f t="shared" si="7"/>
        <v>0</v>
      </c>
      <c r="J100" s="1">
        <f t="shared" si="9"/>
        <v>0</v>
      </c>
      <c r="K100" s="1">
        <f t="shared" si="9"/>
        <v>0</v>
      </c>
      <c r="L100" s="1">
        <f t="shared" si="7"/>
        <v>0</v>
      </c>
      <c r="M100" s="1">
        <f t="shared" si="12"/>
        <v>0</v>
      </c>
      <c r="N100" s="1">
        <f t="shared" si="12"/>
        <v>0</v>
      </c>
    </row>
    <row r="101" spans="1:14" x14ac:dyDescent="0.3">
      <c r="A101" s="2">
        <v>92</v>
      </c>
      <c r="B101" s="3">
        <f t="shared" si="10"/>
        <v>-38.047138047137871</v>
      </c>
      <c r="D101" s="1">
        <f t="shared" si="7"/>
        <v>0</v>
      </c>
      <c r="E101" s="1">
        <f t="shared" si="8"/>
        <v>0</v>
      </c>
      <c r="F101" s="1">
        <f t="shared" si="11"/>
        <v>0.80471380471378706</v>
      </c>
      <c r="G101" s="1">
        <f t="shared" si="7"/>
        <v>0.19528619528621291</v>
      </c>
      <c r="H101" s="1">
        <f t="shared" si="7"/>
        <v>0</v>
      </c>
      <c r="I101" s="1">
        <f t="shared" si="7"/>
        <v>0</v>
      </c>
      <c r="J101" s="1">
        <f t="shared" si="9"/>
        <v>0</v>
      </c>
      <c r="K101" s="1">
        <f t="shared" si="9"/>
        <v>0</v>
      </c>
      <c r="L101" s="1">
        <f t="shared" si="7"/>
        <v>0</v>
      </c>
      <c r="M101" s="1">
        <f t="shared" si="12"/>
        <v>0</v>
      </c>
      <c r="N101" s="1">
        <f t="shared" si="12"/>
        <v>0</v>
      </c>
    </row>
    <row r="102" spans="1:14" x14ac:dyDescent="0.3">
      <c r="A102" s="2">
        <v>93</v>
      </c>
      <c r="B102" s="3">
        <f t="shared" si="10"/>
        <v>-37.3737373737372</v>
      </c>
      <c r="D102" s="1">
        <f t="shared" si="7"/>
        <v>0</v>
      </c>
      <c r="E102" s="1">
        <f t="shared" si="8"/>
        <v>0</v>
      </c>
      <c r="F102" s="1">
        <f t="shared" si="11"/>
        <v>0.73737373737371992</v>
      </c>
      <c r="G102" s="1">
        <f t="shared" si="7"/>
        <v>0.26262626262628003</v>
      </c>
      <c r="H102" s="1">
        <f t="shared" si="7"/>
        <v>0</v>
      </c>
      <c r="I102" s="1">
        <f t="shared" si="7"/>
        <v>0</v>
      </c>
      <c r="J102" s="1">
        <f t="shared" si="9"/>
        <v>0</v>
      </c>
      <c r="K102" s="1">
        <f t="shared" si="9"/>
        <v>0</v>
      </c>
      <c r="L102" s="1">
        <f t="shared" si="7"/>
        <v>0</v>
      </c>
      <c r="M102" s="1">
        <f t="shared" si="12"/>
        <v>0</v>
      </c>
      <c r="N102" s="1">
        <f t="shared" si="12"/>
        <v>0</v>
      </c>
    </row>
    <row r="103" spans="1:14" x14ac:dyDescent="0.3">
      <c r="A103" s="2">
        <v>94</v>
      </c>
      <c r="B103" s="3">
        <f t="shared" si="10"/>
        <v>-36.700336700336528</v>
      </c>
      <c r="D103" s="1">
        <f t="shared" si="7"/>
        <v>0</v>
      </c>
      <c r="E103" s="1">
        <f t="shared" si="8"/>
        <v>0</v>
      </c>
      <c r="F103" s="1">
        <f t="shared" si="11"/>
        <v>0.67003367003365288</v>
      </c>
      <c r="G103" s="1">
        <f t="shared" si="7"/>
        <v>0.32996632996634717</v>
      </c>
      <c r="H103" s="1">
        <f t="shared" si="7"/>
        <v>0</v>
      </c>
      <c r="I103" s="1">
        <f t="shared" si="7"/>
        <v>0</v>
      </c>
      <c r="J103" s="1">
        <f t="shared" si="9"/>
        <v>0</v>
      </c>
      <c r="K103" s="1">
        <f t="shared" si="9"/>
        <v>0</v>
      </c>
      <c r="L103" s="1">
        <f t="shared" si="7"/>
        <v>0</v>
      </c>
      <c r="M103" s="1">
        <f t="shared" si="12"/>
        <v>0</v>
      </c>
      <c r="N103" s="1">
        <f t="shared" si="12"/>
        <v>0</v>
      </c>
    </row>
    <row r="104" spans="1:14" x14ac:dyDescent="0.3">
      <c r="A104" s="2">
        <v>95</v>
      </c>
      <c r="B104" s="3">
        <f t="shared" si="10"/>
        <v>-36.026936026935857</v>
      </c>
      <c r="D104" s="1">
        <f t="shared" si="7"/>
        <v>0</v>
      </c>
      <c r="E104" s="1">
        <f t="shared" si="8"/>
        <v>0</v>
      </c>
      <c r="F104" s="1">
        <f t="shared" si="11"/>
        <v>0.60269360269358574</v>
      </c>
      <c r="G104" s="1">
        <f t="shared" si="7"/>
        <v>0.39730639730641426</v>
      </c>
      <c r="H104" s="1">
        <f t="shared" si="7"/>
        <v>0</v>
      </c>
      <c r="I104" s="1">
        <f t="shared" si="7"/>
        <v>0</v>
      </c>
      <c r="J104" s="1">
        <f t="shared" si="9"/>
        <v>0</v>
      </c>
      <c r="K104" s="1">
        <f t="shared" si="9"/>
        <v>0</v>
      </c>
      <c r="L104" s="1">
        <f t="shared" si="7"/>
        <v>0</v>
      </c>
      <c r="M104" s="1">
        <f t="shared" si="12"/>
        <v>0</v>
      </c>
      <c r="N104" s="1">
        <f t="shared" si="12"/>
        <v>0</v>
      </c>
    </row>
    <row r="105" spans="1:14" x14ac:dyDescent="0.3">
      <c r="A105" s="2">
        <v>96</v>
      </c>
      <c r="B105" s="3">
        <f t="shared" si="10"/>
        <v>-35.353535353535186</v>
      </c>
      <c r="D105" s="1">
        <f t="shared" si="7"/>
        <v>0</v>
      </c>
      <c r="E105" s="1">
        <f t="shared" si="8"/>
        <v>0</v>
      </c>
      <c r="F105" s="1">
        <f t="shared" si="11"/>
        <v>0.53535353535351859</v>
      </c>
      <c r="G105" s="1">
        <f t="shared" si="7"/>
        <v>0.46464646464648141</v>
      </c>
      <c r="H105" s="1">
        <f t="shared" si="7"/>
        <v>0</v>
      </c>
      <c r="I105" s="1">
        <f t="shared" si="7"/>
        <v>0</v>
      </c>
      <c r="J105" s="1">
        <f t="shared" si="9"/>
        <v>0</v>
      </c>
      <c r="K105" s="1">
        <f t="shared" si="9"/>
        <v>0</v>
      </c>
      <c r="L105" s="1">
        <f t="shared" si="7"/>
        <v>0</v>
      </c>
      <c r="M105" s="1">
        <f t="shared" si="12"/>
        <v>0</v>
      </c>
      <c r="N105" s="1">
        <f t="shared" si="12"/>
        <v>0</v>
      </c>
    </row>
    <row r="106" spans="1:14" x14ac:dyDescent="0.3">
      <c r="A106" s="2">
        <v>97</v>
      </c>
      <c r="B106" s="3">
        <f t="shared" si="10"/>
        <v>-34.680134680134515</v>
      </c>
      <c r="D106" s="1">
        <f t="shared" si="7"/>
        <v>0</v>
      </c>
      <c r="E106" s="1">
        <f t="shared" si="8"/>
        <v>0</v>
      </c>
      <c r="F106" s="1">
        <f t="shared" si="11"/>
        <v>0.46801346801345145</v>
      </c>
      <c r="G106" s="1">
        <f t="shared" si="7"/>
        <v>0.53198653198654855</v>
      </c>
      <c r="H106" s="1">
        <f t="shared" si="7"/>
        <v>0</v>
      </c>
      <c r="I106" s="1">
        <f t="shared" si="7"/>
        <v>0</v>
      </c>
      <c r="J106" s="1">
        <f t="shared" si="9"/>
        <v>0</v>
      </c>
      <c r="K106" s="1">
        <f t="shared" si="9"/>
        <v>0</v>
      </c>
      <c r="L106" s="1">
        <f t="shared" si="7"/>
        <v>0</v>
      </c>
      <c r="M106" s="1">
        <f t="shared" si="12"/>
        <v>0</v>
      </c>
      <c r="N106" s="1">
        <f t="shared" si="12"/>
        <v>0</v>
      </c>
    </row>
    <row r="107" spans="1:14" x14ac:dyDescent="0.3">
      <c r="A107" s="2">
        <v>98</v>
      </c>
      <c r="B107" s="3">
        <f t="shared" si="10"/>
        <v>-34.006734006733844</v>
      </c>
      <c r="D107" s="1">
        <f t="shared" si="7"/>
        <v>0</v>
      </c>
      <c r="E107" s="1">
        <f t="shared" si="8"/>
        <v>0</v>
      </c>
      <c r="F107" s="1">
        <f t="shared" si="11"/>
        <v>0.40067340067338436</v>
      </c>
      <c r="G107" s="1">
        <f t="shared" si="7"/>
        <v>0.59932659932661569</v>
      </c>
      <c r="H107" s="1">
        <f t="shared" si="7"/>
        <v>0</v>
      </c>
      <c r="I107" s="1">
        <f t="shared" si="7"/>
        <v>0</v>
      </c>
      <c r="J107" s="1">
        <f t="shared" si="9"/>
        <v>0</v>
      </c>
      <c r="K107" s="1">
        <f t="shared" si="9"/>
        <v>0</v>
      </c>
      <c r="L107" s="1">
        <f t="shared" si="7"/>
        <v>0</v>
      </c>
      <c r="M107" s="1">
        <f t="shared" si="12"/>
        <v>0</v>
      </c>
      <c r="N107" s="1">
        <f t="shared" si="12"/>
        <v>0</v>
      </c>
    </row>
    <row r="108" spans="1:14" x14ac:dyDescent="0.3">
      <c r="A108" s="2">
        <v>99</v>
      </c>
      <c r="B108" s="3">
        <f t="shared" si="10"/>
        <v>-33.333333333333172</v>
      </c>
      <c r="D108" s="1">
        <f t="shared" ref="D108:N108" si="13">IF($B108&gt;D$5,0,IF($B108&gt;D$4,(D$5-$B108)/(D$5-D$4),IF($B108&gt;D$3,1,IF($B108&gt;D$2,($B108-D$2)/(D$3-D$2),0))))</f>
        <v>0</v>
      </c>
      <c r="E108" s="1">
        <f t="shared" si="13"/>
        <v>0</v>
      </c>
      <c r="F108" s="1">
        <f t="shared" si="13"/>
        <v>0.33333333333331722</v>
      </c>
      <c r="G108" s="1">
        <f t="shared" si="13"/>
        <v>0.66666666666668273</v>
      </c>
      <c r="H108" s="1">
        <f t="shared" si="13"/>
        <v>0</v>
      </c>
      <c r="I108" s="1">
        <f t="shared" si="13"/>
        <v>0</v>
      </c>
      <c r="J108" s="1">
        <f t="shared" si="13"/>
        <v>0</v>
      </c>
      <c r="K108" s="1">
        <f t="shared" si="13"/>
        <v>0</v>
      </c>
      <c r="L108" s="1">
        <f t="shared" si="13"/>
        <v>0</v>
      </c>
      <c r="M108" s="1">
        <f t="shared" si="13"/>
        <v>0</v>
      </c>
      <c r="N108" s="1">
        <f t="shared" si="13"/>
        <v>0</v>
      </c>
    </row>
    <row r="109" spans="1:14" x14ac:dyDescent="0.3">
      <c r="A109" s="2">
        <v>100</v>
      </c>
      <c r="B109" s="3">
        <f t="shared" si="10"/>
        <v>-32.659932659932501</v>
      </c>
      <c r="D109" s="1">
        <f t="shared" ref="D109:L140" si="14">IF($B109&gt;D$5,0,IF($B109&gt;D$4,(D$5-$B109)/(D$5-D$4),IF($B109&gt;D$3,1,IF($B109&gt;D$2,($B109-D$2)/(D$3-D$2),0))))</f>
        <v>0</v>
      </c>
      <c r="E109" s="1">
        <f t="shared" ref="E109:E172" si="15">IF($B109&gt;E$5,0,IF($B109&gt;E$4,(E$5-$B109)/(E$5-E$4),IF($B109&gt;E$3,1,IF($B109&gt;E$2,($B109-E$2)/(E$3-E$2),0))))</f>
        <v>0</v>
      </c>
      <c r="F109" s="1">
        <f t="shared" si="14"/>
        <v>0.26599326599325013</v>
      </c>
      <c r="G109" s="1">
        <f t="shared" si="14"/>
        <v>0.73400673400674987</v>
      </c>
      <c r="H109" s="1">
        <f t="shared" si="14"/>
        <v>0</v>
      </c>
      <c r="I109" s="1">
        <f t="shared" si="14"/>
        <v>0</v>
      </c>
      <c r="J109" s="1">
        <f t="shared" si="14"/>
        <v>0</v>
      </c>
      <c r="K109" s="1">
        <f t="shared" si="14"/>
        <v>0</v>
      </c>
      <c r="L109" s="1">
        <f t="shared" si="14"/>
        <v>0</v>
      </c>
      <c r="M109" s="1">
        <f t="shared" ref="M109:N172" si="16">IF($B109&gt;M$5,0,IF($B109&gt;M$4,(M$5-$B109)/(M$5-M$4),IF($B109&gt;M$3,1,IF($B109&gt;M$2,($B109-M$2)/(M$3-M$2),0))))</f>
        <v>0</v>
      </c>
      <c r="N109" s="1">
        <f t="shared" si="16"/>
        <v>0</v>
      </c>
    </row>
    <row r="110" spans="1:14" x14ac:dyDescent="0.3">
      <c r="A110" s="2">
        <v>101</v>
      </c>
      <c r="B110" s="3">
        <f t="shared" si="10"/>
        <v>-31.986531986531826</v>
      </c>
      <c r="D110" s="1">
        <f t="shared" si="14"/>
        <v>0</v>
      </c>
      <c r="E110" s="1">
        <f t="shared" si="15"/>
        <v>0</v>
      </c>
      <c r="F110" s="1">
        <f t="shared" si="14"/>
        <v>0.19865319865318262</v>
      </c>
      <c r="G110" s="1">
        <f t="shared" si="14"/>
        <v>0.80134680134681735</v>
      </c>
      <c r="H110" s="1">
        <f t="shared" si="14"/>
        <v>0</v>
      </c>
      <c r="I110" s="1">
        <f t="shared" si="14"/>
        <v>0</v>
      </c>
      <c r="J110" s="1">
        <f t="shared" si="14"/>
        <v>0</v>
      </c>
      <c r="K110" s="1">
        <f t="shared" si="14"/>
        <v>0</v>
      </c>
      <c r="L110" s="1">
        <f t="shared" si="14"/>
        <v>0</v>
      </c>
      <c r="M110" s="1">
        <f t="shared" si="16"/>
        <v>0</v>
      </c>
      <c r="N110" s="1">
        <f t="shared" si="16"/>
        <v>0</v>
      </c>
    </row>
    <row r="111" spans="1:14" x14ac:dyDescent="0.3">
      <c r="A111" s="2">
        <v>102</v>
      </c>
      <c r="B111" s="3">
        <f t="shared" si="10"/>
        <v>-31.313131313131152</v>
      </c>
      <c r="D111" s="1">
        <f t="shared" si="14"/>
        <v>0</v>
      </c>
      <c r="E111" s="1">
        <f t="shared" si="15"/>
        <v>0</v>
      </c>
      <c r="F111" s="1">
        <f t="shared" si="14"/>
        <v>0.13131313131311514</v>
      </c>
      <c r="G111" s="1">
        <f t="shared" si="14"/>
        <v>0.86868686868688483</v>
      </c>
      <c r="H111" s="1">
        <f t="shared" si="14"/>
        <v>0</v>
      </c>
      <c r="I111" s="1">
        <f t="shared" si="14"/>
        <v>0</v>
      </c>
      <c r="J111" s="1">
        <f t="shared" si="14"/>
        <v>0</v>
      </c>
      <c r="K111" s="1">
        <f t="shared" si="14"/>
        <v>0</v>
      </c>
      <c r="L111" s="1">
        <f t="shared" si="14"/>
        <v>0</v>
      </c>
      <c r="M111" s="1">
        <f t="shared" si="16"/>
        <v>0</v>
      </c>
      <c r="N111" s="1">
        <f t="shared" si="16"/>
        <v>0</v>
      </c>
    </row>
    <row r="112" spans="1:14" x14ac:dyDescent="0.3">
      <c r="A112" s="2">
        <v>103</v>
      </c>
      <c r="B112" s="3">
        <f t="shared" si="10"/>
        <v>-30.639730639730477</v>
      </c>
      <c r="D112" s="1">
        <f t="shared" si="14"/>
        <v>0</v>
      </c>
      <c r="E112" s="1">
        <f t="shared" si="15"/>
        <v>0</v>
      </c>
      <c r="F112" s="1">
        <f t="shared" si="14"/>
        <v>6.3973063973047667E-2</v>
      </c>
      <c r="G112" s="1">
        <f t="shared" si="14"/>
        <v>0.93602693602695231</v>
      </c>
      <c r="H112" s="1">
        <f t="shared" si="14"/>
        <v>0</v>
      </c>
      <c r="I112" s="1">
        <f t="shared" si="14"/>
        <v>0</v>
      </c>
      <c r="J112" s="1">
        <f t="shared" si="14"/>
        <v>0</v>
      </c>
      <c r="K112" s="1">
        <f t="shared" si="14"/>
        <v>0</v>
      </c>
      <c r="L112" s="1">
        <f t="shared" si="14"/>
        <v>0</v>
      </c>
      <c r="M112" s="1">
        <f t="shared" si="16"/>
        <v>0</v>
      </c>
      <c r="N112" s="1">
        <f t="shared" si="16"/>
        <v>0</v>
      </c>
    </row>
    <row r="113" spans="1:14" x14ac:dyDescent="0.3">
      <c r="A113" s="2">
        <v>104</v>
      </c>
      <c r="B113" s="3">
        <f t="shared" si="10"/>
        <v>-29.966329966329802</v>
      </c>
      <c r="D113" s="1">
        <f t="shared" si="14"/>
        <v>0</v>
      </c>
      <c r="E113" s="1">
        <f t="shared" si="15"/>
        <v>0</v>
      </c>
      <c r="F113" s="1">
        <f t="shared" si="14"/>
        <v>0</v>
      </c>
      <c r="G113" s="1">
        <f t="shared" si="14"/>
        <v>0.99831649831649005</v>
      </c>
      <c r="H113" s="1">
        <f t="shared" si="14"/>
        <v>1.6835016835099025E-3</v>
      </c>
      <c r="I113" s="1">
        <f t="shared" si="14"/>
        <v>0</v>
      </c>
      <c r="J113" s="1">
        <f t="shared" si="14"/>
        <v>0</v>
      </c>
      <c r="K113" s="1">
        <f t="shared" si="14"/>
        <v>0</v>
      </c>
      <c r="L113" s="1">
        <f t="shared" si="14"/>
        <v>0</v>
      </c>
      <c r="M113" s="1">
        <f t="shared" si="16"/>
        <v>0</v>
      </c>
      <c r="N113" s="1">
        <f t="shared" si="16"/>
        <v>0</v>
      </c>
    </row>
    <row r="114" spans="1:14" x14ac:dyDescent="0.3">
      <c r="A114" s="2">
        <v>105</v>
      </c>
      <c r="B114" s="3">
        <f t="shared" si="10"/>
        <v>-29.292929292929127</v>
      </c>
      <c r="D114" s="1">
        <f t="shared" si="14"/>
        <v>0</v>
      </c>
      <c r="E114" s="1">
        <f t="shared" si="15"/>
        <v>0</v>
      </c>
      <c r="F114" s="1">
        <f t="shared" si="14"/>
        <v>0</v>
      </c>
      <c r="G114" s="1">
        <f t="shared" si="14"/>
        <v>0.96464646464645631</v>
      </c>
      <c r="H114" s="1">
        <f t="shared" si="14"/>
        <v>3.5353535353543644E-2</v>
      </c>
      <c r="I114" s="1">
        <f t="shared" si="14"/>
        <v>0</v>
      </c>
      <c r="J114" s="1">
        <f t="shared" si="14"/>
        <v>0</v>
      </c>
      <c r="K114" s="1">
        <f t="shared" si="14"/>
        <v>0</v>
      </c>
      <c r="L114" s="1">
        <f t="shared" si="14"/>
        <v>0</v>
      </c>
      <c r="M114" s="1">
        <f t="shared" si="16"/>
        <v>0</v>
      </c>
      <c r="N114" s="1">
        <f t="shared" si="16"/>
        <v>0</v>
      </c>
    </row>
    <row r="115" spans="1:14" x14ac:dyDescent="0.3">
      <c r="A115" s="2">
        <v>106</v>
      </c>
      <c r="B115" s="3">
        <f t="shared" si="10"/>
        <v>-28.619528619528452</v>
      </c>
      <c r="D115" s="1">
        <f t="shared" si="14"/>
        <v>0</v>
      </c>
      <c r="E115" s="1">
        <f t="shared" si="15"/>
        <v>0</v>
      </c>
      <c r="F115" s="1">
        <f t="shared" si="14"/>
        <v>0</v>
      </c>
      <c r="G115" s="1">
        <f t="shared" si="14"/>
        <v>0.93097643097642258</v>
      </c>
      <c r="H115" s="1">
        <f t="shared" si="14"/>
        <v>6.9023569023577383E-2</v>
      </c>
      <c r="I115" s="1">
        <f t="shared" si="14"/>
        <v>0</v>
      </c>
      <c r="J115" s="1">
        <f t="shared" si="14"/>
        <v>0</v>
      </c>
      <c r="K115" s="1">
        <f t="shared" si="14"/>
        <v>0</v>
      </c>
      <c r="L115" s="1">
        <f t="shared" si="14"/>
        <v>0</v>
      </c>
      <c r="M115" s="1">
        <f t="shared" si="16"/>
        <v>0</v>
      </c>
      <c r="N115" s="1">
        <f t="shared" si="16"/>
        <v>0</v>
      </c>
    </row>
    <row r="116" spans="1:14" x14ac:dyDescent="0.3">
      <c r="A116" s="2">
        <v>107</v>
      </c>
      <c r="B116" s="3">
        <f t="shared" si="10"/>
        <v>-27.946127946127778</v>
      </c>
      <c r="D116" s="1">
        <f t="shared" si="14"/>
        <v>0</v>
      </c>
      <c r="E116" s="1">
        <f t="shared" si="15"/>
        <v>0</v>
      </c>
      <c r="F116" s="1">
        <f t="shared" si="14"/>
        <v>0</v>
      </c>
      <c r="G116" s="1">
        <f t="shared" si="14"/>
        <v>0.89730639730638884</v>
      </c>
      <c r="H116" s="1">
        <f t="shared" si="14"/>
        <v>0.10269360269361112</v>
      </c>
      <c r="I116" s="1">
        <f t="shared" si="14"/>
        <v>0</v>
      </c>
      <c r="J116" s="1">
        <f t="shared" si="14"/>
        <v>0</v>
      </c>
      <c r="K116" s="1">
        <f t="shared" si="14"/>
        <v>0</v>
      </c>
      <c r="L116" s="1">
        <f t="shared" si="14"/>
        <v>0</v>
      </c>
      <c r="M116" s="1">
        <f t="shared" si="16"/>
        <v>0</v>
      </c>
      <c r="N116" s="1">
        <f t="shared" si="16"/>
        <v>0</v>
      </c>
    </row>
    <row r="117" spans="1:14" x14ac:dyDescent="0.3">
      <c r="A117" s="2">
        <v>108</v>
      </c>
      <c r="B117" s="3">
        <f t="shared" si="10"/>
        <v>-27.272727272727103</v>
      </c>
      <c r="D117" s="1">
        <f t="shared" si="14"/>
        <v>0</v>
      </c>
      <c r="E117" s="1">
        <f t="shared" si="15"/>
        <v>0</v>
      </c>
      <c r="F117" s="1">
        <f t="shared" si="14"/>
        <v>0</v>
      </c>
      <c r="G117" s="1">
        <f t="shared" si="14"/>
        <v>0.8636363636363551</v>
      </c>
      <c r="H117" s="1">
        <f t="shared" si="14"/>
        <v>0.13636363636364485</v>
      </c>
      <c r="I117" s="1">
        <f t="shared" si="14"/>
        <v>0</v>
      </c>
      <c r="J117" s="1">
        <f t="shared" si="14"/>
        <v>0</v>
      </c>
      <c r="K117" s="1">
        <f t="shared" si="14"/>
        <v>0</v>
      </c>
      <c r="L117" s="1">
        <f t="shared" si="14"/>
        <v>0</v>
      </c>
      <c r="M117" s="1">
        <f t="shared" si="16"/>
        <v>0</v>
      </c>
      <c r="N117" s="1">
        <f t="shared" si="16"/>
        <v>0</v>
      </c>
    </row>
    <row r="118" spans="1:14" x14ac:dyDescent="0.3">
      <c r="A118" s="2">
        <v>109</v>
      </c>
      <c r="B118" s="3">
        <f t="shared" si="10"/>
        <v>-26.599326599326428</v>
      </c>
      <c r="D118" s="1">
        <f t="shared" si="14"/>
        <v>0</v>
      </c>
      <c r="E118" s="1">
        <f t="shared" si="15"/>
        <v>0</v>
      </c>
      <c r="F118" s="1">
        <f t="shared" si="14"/>
        <v>0</v>
      </c>
      <c r="G118" s="1">
        <f t="shared" si="14"/>
        <v>0.82996632996632136</v>
      </c>
      <c r="H118" s="1">
        <f t="shared" si="14"/>
        <v>0.17003367003367859</v>
      </c>
      <c r="I118" s="1">
        <f t="shared" si="14"/>
        <v>0</v>
      </c>
      <c r="J118" s="1">
        <f t="shared" si="14"/>
        <v>0</v>
      </c>
      <c r="K118" s="1">
        <f t="shared" si="14"/>
        <v>0</v>
      </c>
      <c r="L118" s="1">
        <f t="shared" si="14"/>
        <v>0</v>
      </c>
      <c r="M118" s="1">
        <f t="shared" si="16"/>
        <v>0</v>
      </c>
      <c r="N118" s="1">
        <f t="shared" si="16"/>
        <v>0</v>
      </c>
    </row>
    <row r="119" spans="1:14" x14ac:dyDescent="0.3">
      <c r="A119" s="2">
        <v>110</v>
      </c>
      <c r="B119" s="3">
        <f t="shared" si="10"/>
        <v>-25.925925925925753</v>
      </c>
      <c r="D119" s="1">
        <f t="shared" si="14"/>
        <v>0</v>
      </c>
      <c r="E119" s="1">
        <f t="shared" si="15"/>
        <v>0</v>
      </c>
      <c r="F119" s="1">
        <f t="shared" si="14"/>
        <v>0</v>
      </c>
      <c r="G119" s="1">
        <f t="shared" si="14"/>
        <v>0.79629629629628762</v>
      </c>
      <c r="H119" s="1">
        <f t="shared" si="14"/>
        <v>0.20370370370371232</v>
      </c>
      <c r="I119" s="1">
        <f t="shared" si="14"/>
        <v>0</v>
      </c>
      <c r="J119" s="1">
        <f t="shared" si="14"/>
        <v>0</v>
      </c>
      <c r="K119" s="1">
        <f t="shared" si="14"/>
        <v>0</v>
      </c>
      <c r="L119" s="1">
        <f t="shared" si="14"/>
        <v>0</v>
      </c>
      <c r="M119" s="1">
        <f t="shared" si="16"/>
        <v>0</v>
      </c>
      <c r="N119" s="1">
        <f t="shared" si="16"/>
        <v>0</v>
      </c>
    </row>
    <row r="120" spans="1:14" x14ac:dyDescent="0.3">
      <c r="A120" s="2">
        <v>111</v>
      </c>
      <c r="B120" s="3">
        <f t="shared" si="10"/>
        <v>-25.252525252525079</v>
      </c>
      <c r="D120" s="1">
        <f t="shared" si="14"/>
        <v>0</v>
      </c>
      <c r="E120" s="1">
        <f t="shared" si="15"/>
        <v>0</v>
      </c>
      <c r="F120" s="1">
        <f t="shared" si="14"/>
        <v>0</v>
      </c>
      <c r="G120" s="1">
        <f t="shared" si="14"/>
        <v>0.76262626262625388</v>
      </c>
      <c r="H120" s="1">
        <f t="shared" si="14"/>
        <v>0.23737373737374606</v>
      </c>
      <c r="I120" s="1">
        <f t="shared" si="14"/>
        <v>0</v>
      </c>
      <c r="J120" s="1">
        <f t="shared" si="14"/>
        <v>0</v>
      </c>
      <c r="K120" s="1">
        <f t="shared" si="14"/>
        <v>0</v>
      </c>
      <c r="L120" s="1">
        <f t="shared" si="14"/>
        <v>0</v>
      </c>
      <c r="M120" s="1">
        <f t="shared" si="16"/>
        <v>0</v>
      </c>
      <c r="N120" s="1">
        <f t="shared" si="16"/>
        <v>0</v>
      </c>
    </row>
    <row r="121" spans="1:14" x14ac:dyDescent="0.3">
      <c r="A121" s="2">
        <v>112</v>
      </c>
      <c r="B121" s="3">
        <f t="shared" si="10"/>
        <v>-24.579124579124404</v>
      </c>
      <c r="D121" s="1">
        <f t="shared" si="14"/>
        <v>0</v>
      </c>
      <c r="E121" s="1">
        <f t="shared" si="15"/>
        <v>0</v>
      </c>
      <c r="F121" s="1">
        <f t="shared" si="14"/>
        <v>0</v>
      </c>
      <c r="G121" s="1">
        <f t="shared" si="14"/>
        <v>0.72895622895622014</v>
      </c>
      <c r="H121" s="1">
        <f t="shared" si="14"/>
        <v>0.2710437710437798</v>
      </c>
      <c r="I121" s="1">
        <f t="shared" si="14"/>
        <v>0</v>
      </c>
      <c r="J121" s="1">
        <f t="shared" si="14"/>
        <v>0</v>
      </c>
      <c r="K121" s="1">
        <f t="shared" si="14"/>
        <v>0</v>
      </c>
      <c r="L121" s="1">
        <f t="shared" si="14"/>
        <v>0</v>
      </c>
      <c r="M121" s="1">
        <f t="shared" si="16"/>
        <v>0</v>
      </c>
      <c r="N121" s="1">
        <f t="shared" si="16"/>
        <v>0</v>
      </c>
    </row>
    <row r="122" spans="1:14" x14ac:dyDescent="0.3">
      <c r="A122" s="2">
        <v>113</v>
      </c>
      <c r="B122" s="3">
        <f t="shared" si="10"/>
        <v>-23.905723905723729</v>
      </c>
      <c r="D122" s="1">
        <f t="shared" si="14"/>
        <v>0</v>
      </c>
      <c r="E122" s="1">
        <f t="shared" si="15"/>
        <v>0</v>
      </c>
      <c r="F122" s="1">
        <f t="shared" si="14"/>
        <v>0</v>
      </c>
      <c r="G122" s="1">
        <f t="shared" si="14"/>
        <v>0.6952861952861864</v>
      </c>
      <c r="H122" s="1">
        <f t="shared" si="14"/>
        <v>0.30471380471381354</v>
      </c>
      <c r="I122" s="1">
        <f t="shared" si="14"/>
        <v>0</v>
      </c>
      <c r="J122" s="1">
        <f t="shared" si="14"/>
        <v>0</v>
      </c>
      <c r="K122" s="1">
        <f t="shared" si="14"/>
        <v>0</v>
      </c>
      <c r="L122" s="1">
        <f t="shared" si="14"/>
        <v>0</v>
      </c>
      <c r="M122" s="1">
        <f t="shared" si="16"/>
        <v>0</v>
      </c>
      <c r="N122" s="1">
        <f t="shared" si="16"/>
        <v>0</v>
      </c>
    </row>
    <row r="123" spans="1:14" x14ac:dyDescent="0.3">
      <c r="A123" s="2">
        <v>114</v>
      </c>
      <c r="B123" s="3">
        <f t="shared" si="10"/>
        <v>-23.232323232323054</v>
      </c>
      <c r="D123" s="1">
        <f t="shared" si="14"/>
        <v>0</v>
      </c>
      <c r="E123" s="1">
        <f t="shared" si="15"/>
        <v>0</v>
      </c>
      <c r="F123" s="1">
        <f t="shared" si="14"/>
        <v>0</v>
      </c>
      <c r="G123" s="1">
        <f t="shared" si="14"/>
        <v>0.66161616161615266</v>
      </c>
      <c r="H123" s="1">
        <f t="shared" si="14"/>
        <v>0.33838383838384728</v>
      </c>
      <c r="I123" s="1">
        <f t="shared" si="14"/>
        <v>0</v>
      </c>
      <c r="J123" s="1">
        <f t="shared" si="14"/>
        <v>0</v>
      </c>
      <c r="K123" s="1">
        <f t="shared" si="14"/>
        <v>0</v>
      </c>
      <c r="L123" s="1">
        <f t="shared" si="14"/>
        <v>0</v>
      </c>
      <c r="M123" s="1">
        <f t="shared" si="16"/>
        <v>0</v>
      </c>
      <c r="N123" s="1">
        <f t="shared" si="16"/>
        <v>0</v>
      </c>
    </row>
    <row r="124" spans="1:14" x14ac:dyDescent="0.3">
      <c r="A124" s="2">
        <v>115</v>
      </c>
      <c r="B124" s="3">
        <f t="shared" si="10"/>
        <v>-22.558922558922379</v>
      </c>
      <c r="D124" s="1">
        <f t="shared" si="14"/>
        <v>0</v>
      </c>
      <c r="E124" s="1">
        <f t="shared" si="15"/>
        <v>0</v>
      </c>
      <c r="F124" s="1">
        <f t="shared" si="14"/>
        <v>0</v>
      </c>
      <c r="G124" s="1">
        <f t="shared" si="14"/>
        <v>0.62794612794611893</v>
      </c>
      <c r="H124" s="1">
        <f t="shared" si="14"/>
        <v>0.37205387205388102</v>
      </c>
      <c r="I124" s="1">
        <f t="shared" si="14"/>
        <v>0</v>
      </c>
      <c r="J124" s="1">
        <f t="shared" si="14"/>
        <v>0</v>
      </c>
      <c r="K124" s="1">
        <f t="shared" si="14"/>
        <v>0</v>
      </c>
      <c r="L124" s="1">
        <f t="shared" si="14"/>
        <v>0</v>
      </c>
      <c r="M124" s="1">
        <f t="shared" si="16"/>
        <v>0</v>
      </c>
      <c r="N124" s="1">
        <f t="shared" si="16"/>
        <v>0</v>
      </c>
    </row>
    <row r="125" spans="1:14" x14ac:dyDescent="0.3">
      <c r="A125" s="2">
        <v>116</v>
      </c>
      <c r="B125" s="3">
        <f t="shared" si="10"/>
        <v>-21.885521885521705</v>
      </c>
      <c r="D125" s="1">
        <f t="shared" si="14"/>
        <v>0</v>
      </c>
      <c r="E125" s="1">
        <f t="shared" si="15"/>
        <v>0</v>
      </c>
      <c r="F125" s="1">
        <f t="shared" si="14"/>
        <v>0</v>
      </c>
      <c r="G125" s="1">
        <f t="shared" si="14"/>
        <v>0.59427609427608519</v>
      </c>
      <c r="H125" s="1">
        <f t="shared" si="14"/>
        <v>0.40572390572391476</v>
      </c>
      <c r="I125" s="1">
        <f t="shared" si="14"/>
        <v>0</v>
      </c>
      <c r="J125" s="1">
        <f t="shared" si="14"/>
        <v>0</v>
      </c>
      <c r="K125" s="1">
        <f t="shared" si="14"/>
        <v>0</v>
      </c>
      <c r="L125" s="1">
        <f t="shared" si="14"/>
        <v>0</v>
      </c>
      <c r="M125" s="1">
        <f t="shared" si="16"/>
        <v>0</v>
      </c>
      <c r="N125" s="1">
        <f t="shared" si="16"/>
        <v>0</v>
      </c>
    </row>
    <row r="126" spans="1:14" x14ac:dyDescent="0.3">
      <c r="A126" s="2">
        <v>117</v>
      </c>
      <c r="B126" s="3">
        <f t="shared" si="10"/>
        <v>-21.21212121212103</v>
      </c>
      <c r="D126" s="1">
        <f t="shared" si="14"/>
        <v>0</v>
      </c>
      <c r="E126" s="1">
        <f t="shared" si="15"/>
        <v>0</v>
      </c>
      <c r="F126" s="1">
        <f t="shared" si="14"/>
        <v>0</v>
      </c>
      <c r="G126" s="1">
        <f t="shared" si="14"/>
        <v>0.56060606060605145</v>
      </c>
      <c r="H126" s="1">
        <f t="shared" si="14"/>
        <v>0.4393939393939485</v>
      </c>
      <c r="I126" s="1">
        <f t="shared" si="14"/>
        <v>0</v>
      </c>
      <c r="J126" s="1">
        <f t="shared" si="14"/>
        <v>0</v>
      </c>
      <c r="K126" s="1">
        <f t="shared" si="14"/>
        <v>0</v>
      </c>
      <c r="L126" s="1">
        <f t="shared" si="14"/>
        <v>0</v>
      </c>
      <c r="M126" s="1">
        <f t="shared" si="16"/>
        <v>0</v>
      </c>
      <c r="N126" s="1">
        <f t="shared" si="16"/>
        <v>0</v>
      </c>
    </row>
    <row r="127" spans="1:14" x14ac:dyDescent="0.3">
      <c r="A127" s="2">
        <v>118</v>
      </c>
      <c r="B127" s="3">
        <f t="shared" si="10"/>
        <v>-20.538720538720355</v>
      </c>
      <c r="D127" s="1">
        <f t="shared" si="14"/>
        <v>0</v>
      </c>
      <c r="E127" s="1">
        <f t="shared" si="15"/>
        <v>0</v>
      </c>
      <c r="F127" s="1">
        <f t="shared" si="14"/>
        <v>0</v>
      </c>
      <c r="G127" s="1">
        <f t="shared" si="14"/>
        <v>0.52693602693601771</v>
      </c>
      <c r="H127" s="1">
        <f t="shared" si="14"/>
        <v>0.47306397306398223</v>
      </c>
      <c r="I127" s="1">
        <f t="shared" si="14"/>
        <v>0</v>
      </c>
      <c r="J127" s="1">
        <f t="shared" si="14"/>
        <v>0</v>
      </c>
      <c r="K127" s="1">
        <f t="shared" si="14"/>
        <v>0</v>
      </c>
      <c r="L127" s="1">
        <f t="shared" si="14"/>
        <v>0</v>
      </c>
      <c r="M127" s="1">
        <f t="shared" si="16"/>
        <v>0</v>
      </c>
      <c r="N127" s="1">
        <f t="shared" si="16"/>
        <v>0</v>
      </c>
    </row>
    <row r="128" spans="1:14" x14ac:dyDescent="0.3">
      <c r="A128" s="2">
        <v>119</v>
      </c>
      <c r="B128" s="3">
        <f t="shared" si="10"/>
        <v>-19.86531986531968</v>
      </c>
      <c r="D128" s="1">
        <f t="shared" si="14"/>
        <v>0</v>
      </c>
      <c r="E128" s="1">
        <f t="shared" si="15"/>
        <v>0</v>
      </c>
      <c r="F128" s="1">
        <f t="shared" si="14"/>
        <v>0</v>
      </c>
      <c r="G128" s="1">
        <f t="shared" si="14"/>
        <v>0.49326599326598403</v>
      </c>
      <c r="H128" s="1">
        <f t="shared" si="14"/>
        <v>0.50673400673401603</v>
      </c>
      <c r="I128" s="1">
        <f t="shared" si="14"/>
        <v>0</v>
      </c>
      <c r="J128" s="1">
        <f t="shared" si="14"/>
        <v>0</v>
      </c>
      <c r="K128" s="1">
        <f t="shared" si="14"/>
        <v>0</v>
      </c>
      <c r="L128" s="1">
        <f t="shared" si="14"/>
        <v>0</v>
      </c>
      <c r="M128" s="1">
        <f t="shared" si="16"/>
        <v>0</v>
      </c>
      <c r="N128" s="1">
        <f t="shared" si="16"/>
        <v>0</v>
      </c>
    </row>
    <row r="129" spans="1:14" x14ac:dyDescent="0.3">
      <c r="A129" s="2">
        <v>120</v>
      </c>
      <c r="B129" s="3">
        <f t="shared" si="10"/>
        <v>-19.191919191919006</v>
      </c>
      <c r="D129" s="1">
        <f t="shared" si="14"/>
        <v>0</v>
      </c>
      <c r="E129" s="1">
        <f t="shared" si="15"/>
        <v>0</v>
      </c>
      <c r="F129" s="1">
        <f t="shared" si="14"/>
        <v>0</v>
      </c>
      <c r="G129" s="1">
        <f t="shared" si="14"/>
        <v>0.45959595959595029</v>
      </c>
      <c r="H129" s="1">
        <f t="shared" si="14"/>
        <v>0.54040404040404977</v>
      </c>
      <c r="I129" s="1">
        <f t="shared" si="14"/>
        <v>0</v>
      </c>
      <c r="J129" s="1">
        <f t="shared" si="14"/>
        <v>0</v>
      </c>
      <c r="K129" s="1">
        <f t="shared" si="14"/>
        <v>0</v>
      </c>
      <c r="L129" s="1">
        <f t="shared" si="14"/>
        <v>0</v>
      </c>
      <c r="M129" s="1">
        <f t="shared" si="16"/>
        <v>0</v>
      </c>
      <c r="N129" s="1">
        <f t="shared" si="16"/>
        <v>0</v>
      </c>
    </row>
    <row r="130" spans="1:14" x14ac:dyDescent="0.3">
      <c r="A130" s="2">
        <v>121</v>
      </c>
      <c r="B130" s="3">
        <f t="shared" si="10"/>
        <v>-18.518518518518331</v>
      </c>
      <c r="D130" s="1">
        <f t="shared" si="14"/>
        <v>0</v>
      </c>
      <c r="E130" s="1">
        <f t="shared" si="15"/>
        <v>0</v>
      </c>
      <c r="F130" s="1">
        <f t="shared" si="14"/>
        <v>0</v>
      </c>
      <c r="G130" s="1">
        <f t="shared" si="14"/>
        <v>0.42592592592591655</v>
      </c>
      <c r="H130" s="1">
        <f t="shared" si="14"/>
        <v>0.57407407407408351</v>
      </c>
      <c r="I130" s="1">
        <f t="shared" si="14"/>
        <v>0</v>
      </c>
      <c r="J130" s="1">
        <f t="shared" si="14"/>
        <v>0</v>
      </c>
      <c r="K130" s="1">
        <f t="shared" si="14"/>
        <v>0</v>
      </c>
      <c r="L130" s="1">
        <f t="shared" si="14"/>
        <v>0</v>
      </c>
      <c r="M130" s="1">
        <f t="shared" si="16"/>
        <v>0</v>
      </c>
      <c r="N130" s="1">
        <f t="shared" si="16"/>
        <v>0</v>
      </c>
    </row>
    <row r="131" spans="1:14" x14ac:dyDescent="0.3">
      <c r="A131" s="2">
        <v>122</v>
      </c>
      <c r="B131" s="3">
        <f t="shared" si="10"/>
        <v>-17.845117845117656</v>
      </c>
      <c r="D131" s="1">
        <f t="shared" si="14"/>
        <v>0</v>
      </c>
      <c r="E131" s="1">
        <f t="shared" si="15"/>
        <v>0</v>
      </c>
      <c r="F131" s="1">
        <f t="shared" si="14"/>
        <v>0</v>
      </c>
      <c r="G131" s="1">
        <f t="shared" si="14"/>
        <v>0.39225589225588281</v>
      </c>
      <c r="H131" s="1">
        <f t="shared" si="14"/>
        <v>0.60774410774411725</v>
      </c>
      <c r="I131" s="1">
        <f t="shared" si="14"/>
        <v>0</v>
      </c>
      <c r="J131" s="1">
        <f t="shared" si="14"/>
        <v>0</v>
      </c>
      <c r="K131" s="1">
        <f t="shared" si="14"/>
        <v>0</v>
      </c>
      <c r="L131" s="1">
        <f t="shared" si="14"/>
        <v>0</v>
      </c>
      <c r="M131" s="1">
        <f t="shared" si="16"/>
        <v>0</v>
      </c>
      <c r="N131" s="1">
        <f t="shared" si="16"/>
        <v>0</v>
      </c>
    </row>
    <row r="132" spans="1:14" x14ac:dyDescent="0.3">
      <c r="A132" s="2">
        <v>123</v>
      </c>
      <c r="B132" s="3">
        <f t="shared" si="10"/>
        <v>-17.171717171716981</v>
      </c>
      <c r="D132" s="1">
        <f t="shared" si="14"/>
        <v>0</v>
      </c>
      <c r="E132" s="1">
        <f t="shared" si="15"/>
        <v>0</v>
      </c>
      <c r="F132" s="1">
        <f t="shared" si="14"/>
        <v>0</v>
      </c>
      <c r="G132" s="1">
        <f t="shared" si="14"/>
        <v>0.35858585858584907</v>
      </c>
      <c r="H132" s="1">
        <f t="shared" si="14"/>
        <v>0.64141414141415098</v>
      </c>
      <c r="I132" s="1">
        <f t="shared" si="14"/>
        <v>0</v>
      </c>
      <c r="J132" s="1">
        <f t="shared" si="14"/>
        <v>0</v>
      </c>
      <c r="K132" s="1">
        <f t="shared" si="14"/>
        <v>0</v>
      </c>
      <c r="L132" s="1">
        <f t="shared" si="14"/>
        <v>0</v>
      </c>
      <c r="M132" s="1">
        <f t="shared" si="16"/>
        <v>0</v>
      </c>
      <c r="N132" s="1">
        <f t="shared" si="16"/>
        <v>0</v>
      </c>
    </row>
    <row r="133" spans="1:14" x14ac:dyDescent="0.3">
      <c r="A133" s="2">
        <v>124</v>
      </c>
      <c r="B133" s="3">
        <f t="shared" si="10"/>
        <v>-16.498316498316306</v>
      </c>
      <c r="D133" s="1">
        <f t="shared" si="14"/>
        <v>0</v>
      </c>
      <c r="E133" s="1">
        <f t="shared" si="15"/>
        <v>0</v>
      </c>
      <c r="F133" s="1">
        <f t="shared" si="14"/>
        <v>0</v>
      </c>
      <c r="G133" s="1">
        <f t="shared" si="14"/>
        <v>0.32491582491581533</v>
      </c>
      <c r="H133" s="1">
        <f t="shared" si="14"/>
        <v>0.67508417508418472</v>
      </c>
      <c r="I133" s="1">
        <f t="shared" si="14"/>
        <v>0</v>
      </c>
      <c r="J133" s="1">
        <f t="shared" si="14"/>
        <v>0</v>
      </c>
      <c r="K133" s="1">
        <f t="shared" si="14"/>
        <v>0</v>
      </c>
      <c r="L133" s="1">
        <f t="shared" si="14"/>
        <v>0</v>
      </c>
      <c r="M133" s="1">
        <f t="shared" si="16"/>
        <v>0</v>
      </c>
      <c r="N133" s="1">
        <f t="shared" si="16"/>
        <v>0</v>
      </c>
    </row>
    <row r="134" spans="1:14" x14ac:dyDescent="0.3">
      <c r="A134" s="2">
        <v>125</v>
      </c>
      <c r="B134" s="3">
        <f t="shared" si="10"/>
        <v>-15.824915824915633</v>
      </c>
      <c r="D134" s="1">
        <f t="shared" si="14"/>
        <v>0</v>
      </c>
      <c r="E134" s="1">
        <f t="shared" si="15"/>
        <v>0</v>
      </c>
      <c r="F134" s="1">
        <f t="shared" si="14"/>
        <v>0</v>
      </c>
      <c r="G134" s="1">
        <f t="shared" si="14"/>
        <v>0.29124579124578165</v>
      </c>
      <c r="H134" s="1">
        <f t="shared" si="14"/>
        <v>0.70875420875421835</v>
      </c>
      <c r="I134" s="1">
        <f t="shared" si="14"/>
        <v>0</v>
      </c>
      <c r="J134" s="1">
        <f t="shared" si="14"/>
        <v>0</v>
      </c>
      <c r="K134" s="1">
        <f t="shared" si="14"/>
        <v>0</v>
      </c>
      <c r="L134" s="1">
        <f t="shared" si="14"/>
        <v>0</v>
      </c>
      <c r="M134" s="1">
        <f t="shared" si="16"/>
        <v>0</v>
      </c>
      <c r="N134" s="1">
        <f t="shared" si="16"/>
        <v>0</v>
      </c>
    </row>
    <row r="135" spans="1:14" x14ac:dyDescent="0.3">
      <c r="A135" s="2">
        <v>126</v>
      </c>
      <c r="B135" s="3">
        <f t="shared" si="10"/>
        <v>-15.15151515151496</v>
      </c>
      <c r="D135" s="1">
        <f t="shared" si="14"/>
        <v>0</v>
      </c>
      <c r="E135" s="1">
        <f t="shared" si="15"/>
        <v>0</v>
      </c>
      <c r="F135" s="1">
        <f t="shared" si="14"/>
        <v>0</v>
      </c>
      <c r="G135" s="1">
        <f t="shared" si="14"/>
        <v>0.25757575757574802</v>
      </c>
      <c r="H135" s="1">
        <f t="shared" si="14"/>
        <v>0.74242424242425198</v>
      </c>
      <c r="I135" s="1">
        <f t="shared" si="14"/>
        <v>0</v>
      </c>
      <c r="J135" s="1">
        <f t="shared" si="14"/>
        <v>0</v>
      </c>
      <c r="K135" s="1">
        <f t="shared" si="14"/>
        <v>0</v>
      </c>
      <c r="L135" s="1">
        <f t="shared" si="14"/>
        <v>0</v>
      </c>
      <c r="M135" s="1">
        <f t="shared" si="16"/>
        <v>0</v>
      </c>
      <c r="N135" s="1">
        <f t="shared" si="16"/>
        <v>0</v>
      </c>
    </row>
    <row r="136" spans="1:14" x14ac:dyDescent="0.3">
      <c r="A136" s="2">
        <v>127</v>
      </c>
      <c r="B136" s="3">
        <f t="shared" si="10"/>
        <v>-14.478114478114287</v>
      </c>
      <c r="D136" s="1">
        <f t="shared" si="14"/>
        <v>0</v>
      </c>
      <c r="E136" s="1">
        <f t="shared" si="15"/>
        <v>0</v>
      </c>
      <c r="F136" s="1">
        <f t="shared" si="14"/>
        <v>0</v>
      </c>
      <c r="G136" s="1">
        <f t="shared" si="14"/>
        <v>0.22390572390571437</v>
      </c>
      <c r="H136" s="1">
        <f t="shared" si="14"/>
        <v>0.77609427609428561</v>
      </c>
      <c r="I136" s="1">
        <f t="shared" si="14"/>
        <v>0</v>
      </c>
      <c r="J136" s="1">
        <f t="shared" si="14"/>
        <v>0</v>
      </c>
      <c r="K136" s="1">
        <f t="shared" si="14"/>
        <v>0</v>
      </c>
      <c r="L136" s="1">
        <f t="shared" si="14"/>
        <v>0</v>
      </c>
      <c r="M136" s="1">
        <f t="shared" si="16"/>
        <v>0</v>
      </c>
      <c r="N136" s="1">
        <f t="shared" si="16"/>
        <v>0</v>
      </c>
    </row>
    <row r="137" spans="1:14" x14ac:dyDescent="0.3">
      <c r="A137" s="2">
        <v>128</v>
      </c>
      <c r="B137" s="3">
        <f t="shared" si="10"/>
        <v>-13.804713804713614</v>
      </c>
      <c r="D137" s="1">
        <f t="shared" si="14"/>
        <v>0</v>
      </c>
      <c r="E137" s="1">
        <f t="shared" si="15"/>
        <v>0</v>
      </c>
      <c r="F137" s="1">
        <f t="shared" si="14"/>
        <v>0</v>
      </c>
      <c r="G137" s="1">
        <f t="shared" si="14"/>
        <v>0.19023569023568071</v>
      </c>
      <c r="H137" s="1">
        <f t="shared" si="14"/>
        <v>0.80976430976431923</v>
      </c>
      <c r="I137" s="1">
        <f t="shared" si="14"/>
        <v>0</v>
      </c>
      <c r="J137" s="1">
        <f t="shared" si="14"/>
        <v>0</v>
      </c>
      <c r="K137" s="1">
        <f t="shared" si="14"/>
        <v>0</v>
      </c>
      <c r="L137" s="1">
        <f t="shared" si="14"/>
        <v>0</v>
      </c>
      <c r="M137" s="1">
        <f t="shared" si="16"/>
        <v>0</v>
      </c>
      <c r="N137" s="1">
        <f t="shared" si="16"/>
        <v>0</v>
      </c>
    </row>
    <row r="138" spans="1:14" x14ac:dyDescent="0.3">
      <c r="A138" s="2">
        <v>129</v>
      </c>
      <c r="B138" s="3">
        <f t="shared" si="10"/>
        <v>-13.131313131312941</v>
      </c>
      <c r="D138" s="1">
        <f t="shared" si="14"/>
        <v>0</v>
      </c>
      <c r="E138" s="1">
        <f t="shared" si="15"/>
        <v>0</v>
      </c>
      <c r="F138" s="1">
        <f t="shared" si="14"/>
        <v>0</v>
      </c>
      <c r="G138" s="1">
        <f t="shared" si="14"/>
        <v>0.15656565656564708</v>
      </c>
      <c r="H138" s="1">
        <f t="shared" si="14"/>
        <v>0.84343434343435286</v>
      </c>
      <c r="I138" s="1">
        <f t="shared" si="14"/>
        <v>0</v>
      </c>
      <c r="J138" s="1">
        <f t="shared" si="14"/>
        <v>0</v>
      </c>
      <c r="K138" s="1">
        <f t="shared" si="14"/>
        <v>0</v>
      </c>
      <c r="L138" s="1">
        <f t="shared" si="14"/>
        <v>0</v>
      </c>
      <c r="M138" s="1">
        <f t="shared" si="16"/>
        <v>0</v>
      </c>
      <c r="N138" s="1">
        <f t="shared" si="16"/>
        <v>0</v>
      </c>
    </row>
    <row r="139" spans="1:14" x14ac:dyDescent="0.3">
      <c r="A139" s="2">
        <v>130</v>
      </c>
      <c r="B139" s="3">
        <f t="shared" ref="B139:B202" si="17">B138+((B$306-B$9)/297)</f>
        <v>-12.457912457912268</v>
      </c>
      <c r="D139" s="1">
        <f t="shared" si="14"/>
        <v>0</v>
      </c>
      <c r="E139" s="1">
        <f t="shared" si="15"/>
        <v>0</v>
      </c>
      <c r="F139" s="1">
        <f t="shared" si="14"/>
        <v>0</v>
      </c>
      <c r="G139" s="1">
        <f t="shared" si="14"/>
        <v>0.12289562289561343</v>
      </c>
      <c r="H139" s="1">
        <f t="shared" si="14"/>
        <v>0.8771043771043866</v>
      </c>
      <c r="I139" s="1">
        <f t="shared" si="14"/>
        <v>0</v>
      </c>
      <c r="J139" s="1">
        <f t="shared" si="14"/>
        <v>0</v>
      </c>
      <c r="K139" s="1">
        <f t="shared" si="14"/>
        <v>0</v>
      </c>
      <c r="L139" s="1">
        <f t="shared" si="14"/>
        <v>0</v>
      </c>
      <c r="M139" s="1">
        <f t="shared" si="16"/>
        <v>0</v>
      </c>
      <c r="N139" s="1">
        <f t="shared" si="16"/>
        <v>0</v>
      </c>
    </row>
    <row r="140" spans="1:14" x14ac:dyDescent="0.3">
      <c r="A140" s="2">
        <v>131</v>
      </c>
      <c r="B140" s="3">
        <f t="shared" si="17"/>
        <v>-11.784511784511595</v>
      </c>
      <c r="D140" s="1">
        <f t="shared" si="14"/>
        <v>0</v>
      </c>
      <c r="E140" s="1">
        <f t="shared" si="15"/>
        <v>0</v>
      </c>
      <c r="F140" s="1">
        <f t="shared" si="14"/>
        <v>0</v>
      </c>
      <c r="G140" s="1">
        <f t="shared" si="14"/>
        <v>8.9225589225579771E-2</v>
      </c>
      <c r="H140" s="1">
        <f t="shared" si="14"/>
        <v>0.91077441077442034</v>
      </c>
      <c r="I140" s="1">
        <f t="shared" si="14"/>
        <v>0</v>
      </c>
      <c r="J140" s="1">
        <f t="shared" si="14"/>
        <v>0</v>
      </c>
      <c r="K140" s="1">
        <f t="shared" ref="K140" si="18">IF($B140&gt;K$5,0,IF($B140&gt;K$4,(K$5-$B140)/(K$5-K$4),IF($B140&gt;K$3,1,IF($B140&gt;K$2,($B140-K$2)/(K$3-K$2),0))))</f>
        <v>0</v>
      </c>
      <c r="L140" s="1">
        <f t="shared" si="14"/>
        <v>0</v>
      </c>
      <c r="M140" s="1">
        <f t="shared" si="16"/>
        <v>0</v>
      </c>
      <c r="N140" s="1">
        <f t="shared" si="16"/>
        <v>0</v>
      </c>
    </row>
    <row r="141" spans="1:14" x14ac:dyDescent="0.3">
      <c r="A141" s="2">
        <v>132</v>
      </c>
      <c r="B141" s="3">
        <f t="shared" si="17"/>
        <v>-11.111111111110922</v>
      </c>
      <c r="D141" s="1">
        <f t="shared" ref="D141:L172" si="19">IF($B141&gt;D$5,0,IF($B141&gt;D$4,(D$5-$B141)/(D$5-D$4),IF($B141&gt;D$3,1,IF($B141&gt;D$2,($B141-D$2)/(D$3-D$2),0))))</f>
        <v>0</v>
      </c>
      <c r="E141" s="1">
        <f t="shared" si="15"/>
        <v>0</v>
      </c>
      <c r="F141" s="1">
        <f t="shared" si="19"/>
        <v>0</v>
      </c>
      <c r="G141" s="1">
        <f t="shared" si="19"/>
        <v>5.5555555555546123E-2</v>
      </c>
      <c r="H141" s="1">
        <f t="shared" si="19"/>
        <v>0.94444444444445386</v>
      </c>
      <c r="I141" s="1">
        <f t="shared" si="19"/>
        <v>0</v>
      </c>
      <c r="J141" s="1">
        <f t="shared" si="19"/>
        <v>0</v>
      </c>
      <c r="K141" s="1">
        <f t="shared" si="19"/>
        <v>0</v>
      </c>
      <c r="L141" s="1">
        <f t="shared" si="19"/>
        <v>0</v>
      </c>
      <c r="M141" s="1">
        <f t="shared" si="16"/>
        <v>0</v>
      </c>
      <c r="N141" s="1">
        <f t="shared" si="16"/>
        <v>0</v>
      </c>
    </row>
    <row r="142" spans="1:14" x14ac:dyDescent="0.3">
      <c r="A142" s="2">
        <v>133</v>
      </c>
      <c r="B142" s="3">
        <f t="shared" si="17"/>
        <v>-10.437710437710249</v>
      </c>
      <c r="D142" s="1">
        <f t="shared" si="19"/>
        <v>0</v>
      </c>
      <c r="E142" s="1">
        <f t="shared" si="15"/>
        <v>0</v>
      </c>
      <c r="F142" s="1">
        <f t="shared" si="19"/>
        <v>0</v>
      </c>
      <c r="G142" s="1">
        <f t="shared" si="19"/>
        <v>2.188552188551247E-2</v>
      </c>
      <c r="H142" s="1">
        <f t="shared" si="19"/>
        <v>0.97811447811448748</v>
      </c>
      <c r="I142" s="1">
        <f t="shared" si="19"/>
        <v>0</v>
      </c>
      <c r="J142" s="1">
        <f t="shared" si="19"/>
        <v>0</v>
      </c>
      <c r="K142" s="1">
        <f t="shared" si="19"/>
        <v>0</v>
      </c>
      <c r="L142" s="1">
        <f t="shared" si="19"/>
        <v>0</v>
      </c>
      <c r="M142" s="1">
        <f t="shared" si="16"/>
        <v>0</v>
      </c>
      <c r="N142" s="1">
        <f t="shared" si="16"/>
        <v>0</v>
      </c>
    </row>
    <row r="143" spans="1:14" x14ac:dyDescent="0.3">
      <c r="A143" s="2">
        <v>134</v>
      </c>
      <c r="B143" s="3">
        <f t="shared" si="17"/>
        <v>-9.7643097643095764</v>
      </c>
      <c r="D143" s="1">
        <f t="shared" si="19"/>
        <v>0</v>
      </c>
      <c r="E143" s="1">
        <f t="shared" si="15"/>
        <v>0</v>
      </c>
      <c r="F143" s="1">
        <f t="shared" si="19"/>
        <v>0</v>
      </c>
      <c r="G143" s="1">
        <f t="shared" si="19"/>
        <v>0</v>
      </c>
      <c r="H143" s="1">
        <f t="shared" si="19"/>
        <v>0.98821548821547878</v>
      </c>
      <c r="I143" s="1">
        <f t="shared" si="19"/>
        <v>1.1784511784521178E-2</v>
      </c>
      <c r="J143" s="1">
        <f t="shared" si="19"/>
        <v>0</v>
      </c>
      <c r="K143" s="1">
        <f t="shared" si="19"/>
        <v>0</v>
      </c>
      <c r="L143" s="1">
        <f t="shared" si="19"/>
        <v>0</v>
      </c>
      <c r="M143" s="1">
        <f t="shared" si="16"/>
        <v>0</v>
      </c>
      <c r="N143" s="1">
        <f t="shared" si="16"/>
        <v>0</v>
      </c>
    </row>
    <row r="144" spans="1:14" x14ac:dyDescent="0.3">
      <c r="A144" s="2">
        <v>135</v>
      </c>
      <c r="B144" s="3">
        <f t="shared" si="17"/>
        <v>-9.0909090909089034</v>
      </c>
      <c r="D144" s="1">
        <f t="shared" si="19"/>
        <v>0</v>
      </c>
      <c r="E144" s="1">
        <f t="shared" si="15"/>
        <v>0</v>
      </c>
      <c r="F144" s="1">
        <f t="shared" si="19"/>
        <v>0</v>
      </c>
      <c r="G144" s="1">
        <f t="shared" si="19"/>
        <v>0</v>
      </c>
      <c r="H144" s="1">
        <f t="shared" si="19"/>
        <v>0.95454545454544504</v>
      </c>
      <c r="I144" s="1">
        <f t="shared" si="19"/>
        <v>4.545454545455483E-2</v>
      </c>
      <c r="J144" s="1">
        <f t="shared" si="19"/>
        <v>0</v>
      </c>
      <c r="K144" s="1">
        <f t="shared" si="19"/>
        <v>0</v>
      </c>
      <c r="L144" s="1">
        <f t="shared" si="19"/>
        <v>0</v>
      </c>
      <c r="M144" s="1">
        <f t="shared" si="16"/>
        <v>0</v>
      </c>
      <c r="N144" s="1">
        <f t="shared" si="16"/>
        <v>0</v>
      </c>
    </row>
    <row r="145" spans="1:14" x14ac:dyDescent="0.3">
      <c r="A145" s="2">
        <v>136</v>
      </c>
      <c r="B145" s="3">
        <f t="shared" si="17"/>
        <v>-8.4175084175082304</v>
      </c>
      <c r="D145" s="1">
        <f t="shared" si="19"/>
        <v>0</v>
      </c>
      <c r="E145" s="1">
        <f t="shared" si="15"/>
        <v>0</v>
      </c>
      <c r="F145" s="1">
        <f t="shared" si="19"/>
        <v>0</v>
      </c>
      <c r="G145" s="1">
        <f t="shared" si="19"/>
        <v>0</v>
      </c>
      <c r="H145" s="1">
        <f t="shared" si="19"/>
        <v>0.92087542087541152</v>
      </c>
      <c r="I145" s="1">
        <f t="shared" si="19"/>
        <v>7.9124579124588479E-2</v>
      </c>
      <c r="J145" s="1">
        <f t="shared" si="19"/>
        <v>0</v>
      </c>
      <c r="K145" s="1">
        <f t="shared" si="19"/>
        <v>0</v>
      </c>
      <c r="L145" s="1">
        <f t="shared" si="19"/>
        <v>0</v>
      </c>
      <c r="M145" s="1">
        <f t="shared" si="16"/>
        <v>0</v>
      </c>
      <c r="N145" s="1">
        <f t="shared" si="16"/>
        <v>0</v>
      </c>
    </row>
    <row r="146" spans="1:14" x14ac:dyDescent="0.3">
      <c r="A146" s="2">
        <v>137</v>
      </c>
      <c r="B146" s="3">
        <f t="shared" si="17"/>
        <v>-7.7441077441075574</v>
      </c>
      <c r="D146" s="1">
        <f t="shared" si="19"/>
        <v>0</v>
      </c>
      <c r="E146" s="1">
        <f t="shared" si="15"/>
        <v>0</v>
      </c>
      <c r="F146" s="1">
        <f t="shared" si="19"/>
        <v>0</v>
      </c>
      <c r="G146" s="1">
        <f t="shared" si="19"/>
        <v>0</v>
      </c>
      <c r="H146" s="1">
        <f t="shared" si="19"/>
        <v>0.887205387205378</v>
      </c>
      <c r="I146" s="1">
        <f t="shared" si="19"/>
        <v>0.11279461279462213</v>
      </c>
      <c r="J146" s="1">
        <f t="shared" si="19"/>
        <v>0</v>
      </c>
      <c r="K146" s="1">
        <f t="shared" si="19"/>
        <v>0</v>
      </c>
      <c r="L146" s="1">
        <f t="shared" si="19"/>
        <v>0</v>
      </c>
      <c r="M146" s="1">
        <f t="shared" si="16"/>
        <v>0</v>
      </c>
      <c r="N146" s="1">
        <f t="shared" si="16"/>
        <v>0</v>
      </c>
    </row>
    <row r="147" spans="1:14" x14ac:dyDescent="0.3">
      <c r="A147" s="2">
        <v>138</v>
      </c>
      <c r="B147" s="3">
        <f t="shared" si="17"/>
        <v>-7.0707070707068844</v>
      </c>
      <c r="D147" s="1">
        <f t="shared" si="19"/>
        <v>0</v>
      </c>
      <c r="E147" s="1">
        <f t="shared" si="15"/>
        <v>0</v>
      </c>
      <c r="F147" s="1">
        <f t="shared" si="19"/>
        <v>0</v>
      </c>
      <c r="G147" s="1">
        <f t="shared" si="19"/>
        <v>0</v>
      </c>
      <c r="H147" s="1">
        <f t="shared" si="19"/>
        <v>0.85353535353534427</v>
      </c>
      <c r="I147" s="1">
        <f t="shared" si="19"/>
        <v>0.14646464646465579</v>
      </c>
      <c r="J147" s="1">
        <f t="shared" si="19"/>
        <v>0</v>
      </c>
      <c r="K147" s="1">
        <f t="shared" si="19"/>
        <v>0</v>
      </c>
      <c r="L147" s="1">
        <f t="shared" si="19"/>
        <v>0</v>
      </c>
      <c r="M147" s="1">
        <f t="shared" si="16"/>
        <v>0</v>
      </c>
      <c r="N147" s="1">
        <f t="shared" si="16"/>
        <v>0</v>
      </c>
    </row>
    <row r="148" spans="1:14" x14ac:dyDescent="0.3">
      <c r="A148" s="2">
        <v>139</v>
      </c>
      <c r="B148" s="3">
        <f t="shared" si="17"/>
        <v>-6.3973063973062114</v>
      </c>
      <c r="D148" s="1">
        <f t="shared" si="19"/>
        <v>0</v>
      </c>
      <c r="E148" s="1">
        <f t="shared" si="15"/>
        <v>0</v>
      </c>
      <c r="F148" s="1">
        <f t="shared" si="19"/>
        <v>0</v>
      </c>
      <c r="G148" s="1">
        <f t="shared" si="19"/>
        <v>0</v>
      </c>
      <c r="H148" s="1">
        <f t="shared" si="19"/>
        <v>0.81986531986531053</v>
      </c>
      <c r="I148" s="1">
        <f t="shared" si="19"/>
        <v>0.18013468013468942</v>
      </c>
      <c r="J148" s="1">
        <f t="shared" si="19"/>
        <v>0</v>
      </c>
      <c r="K148" s="1">
        <f t="shared" si="19"/>
        <v>0</v>
      </c>
      <c r="L148" s="1">
        <f t="shared" si="19"/>
        <v>0</v>
      </c>
      <c r="M148" s="1">
        <f t="shared" si="16"/>
        <v>0</v>
      </c>
      <c r="N148" s="1">
        <f t="shared" si="16"/>
        <v>0</v>
      </c>
    </row>
    <row r="149" spans="1:14" x14ac:dyDescent="0.3">
      <c r="A149" s="2">
        <v>140</v>
      </c>
      <c r="B149" s="3">
        <f t="shared" si="17"/>
        <v>-5.7239057239055384</v>
      </c>
      <c r="D149" s="1">
        <f t="shared" si="19"/>
        <v>0</v>
      </c>
      <c r="E149" s="1">
        <f t="shared" si="15"/>
        <v>0</v>
      </c>
      <c r="F149" s="1">
        <f t="shared" si="19"/>
        <v>0</v>
      </c>
      <c r="G149" s="1">
        <f t="shared" si="19"/>
        <v>0</v>
      </c>
      <c r="H149" s="1">
        <f t="shared" si="19"/>
        <v>0.7861952861952769</v>
      </c>
      <c r="I149" s="1">
        <f t="shared" si="19"/>
        <v>0.21380471380472307</v>
      </c>
      <c r="J149" s="1">
        <f t="shared" si="19"/>
        <v>0</v>
      </c>
      <c r="K149" s="1">
        <f t="shared" si="19"/>
        <v>0</v>
      </c>
      <c r="L149" s="1">
        <f t="shared" si="19"/>
        <v>0</v>
      </c>
      <c r="M149" s="1">
        <f t="shared" si="16"/>
        <v>0</v>
      </c>
      <c r="N149" s="1">
        <f t="shared" si="16"/>
        <v>0</v>
      </c>
    </row>
    <row r="150" spans="1:14" x14ac:dyDescent="0.3">
      <c r="A150" s="2">
        <v>141</v>
      </c>
      <c r="B150" s="3">
        <f t="shared" si="17"/>
        <v>-5.0505050505048654</v>
      </c>
      <c r="D150" s="1">
        <f t="shared" si="19"/>
        <v>0</v>
      </c>
      <c r="E150" s="1">
        <f t="shared" si="15"/>
        <v>0</v>
      </c>
      <c r="F150" s="1">
        <f t="shared" si="19"/>
        <v>0</v>
      </c>
      <c r="G150" s="1">
        <f t="shared" si="19"/>
        <v>0</v>
      </c>
      <c r="H150" s="1">
        <f t="shared" si="19"/>
        <v>0.75252525252524327</v>
      </c>
      <c r="I150" s="1">
        <f t="shared" si="19"/>
        <v>0.24747474747475673</v>
      </c>
      <c r="J150" s="1">
        <f t="shared" si="19"/>
        <v>0</v>
      </c>
      <c r="K150" s="1">
        <f t="shared" si="19"/>
        <v>0</v>
      </c>
      <c r="L150" s="1">
        <f t="shared" si="19"/>
        <v>0</v>
      </c>
      <c r="M150" s="1">
        <f t="shared" si="16"/>
        <v>0</v>
      </c>
      <c r="N150" s="1">
        <f t="shared" si="16"/>
        <v>0</v>
      </c>
    </row>
    <row r="151" spans="1:14" x14ac:dyDescent="0.3">
      <c r="A151" s="2">
        <v>142</v>
      </c>
      <c r="B151" s="3">
        <f t="shared" si="17"/>
        <v>-4.3771043771041924</v>
      </c>
      <c r="D151" s="1">
        <f t="shared" si="19"/>
        <v>0</v>
      </c>
      <c r="E151" s="1">
        <f t="shared" si="15"/>
        <v>0</v>
      </c>
      <c r="F151" s="1">
        <f t="shared" si="19"/>
        <v>0</v>
      </c>
      <c r="G151" s="1">
        <f t="shared" si="19"/>
        <v>0</v>
      </c>
      <c r="H151" s="1">
        <f t="shared" si="19"/>
        <v>0.71885521885520964</v>
      </c>
      <c r="I151" s="1">
        <f t="shared" si="19"/>
        <v>0.28114478114479036</v>
      </c>
      <c r="J151" s="1">
        <f t="shared" si="19"/>
        <v>0</v>
      </c>
      <c r="K151" s="1">
        <f t="shared" si="19"/>
        <v>0</v>
      </c>
      <c r="L151" s="1">
        <f t="shared" si="19"/>
        <v>0</v>
      </c>
      <c r="M151" s="1">
        <f t="shared" si="16"/>
        <v>0</v>
      </c>
      <c r="N151" s="1">
        <f t="shared" si="16"/>
        <v>0</v>
      </c>
    </row>
    <row r="152" spans="1:14" x14ac:dyDescent="0.3">
      <c r="A152" s="2">
        <v>143</v>
      </c>
      <c r="B152" s="3">
        <f t="shared" si="17"/>
        <v>-3.703703703703519</v>
      </c>
      <c r="D152" s="1">
        <f t="shared" si="19"/>
        <v>0</v>
      </c>
      <c r="E152" s="1">
        <f t="shared" si="15"/>
        <v>0</v>
      </c>
      <c r="F152" s="1">
        <f t="shared" si="19"/>
        <v>0</v>
      </c>
      <c r="G152" s="1">
        <f t="shared" si="19"/>
        <v>0</v>
      </c>
      <c r="H152" s="1">
        <f t="shared" si="19"/>
        <v>0.68518518518517602</v>
      </c>
      <c r="I152" s="1">
        <f t="shared" si="19"/>
        <v>0.31481481481482404</v>
      </c>
      <c r="J152" s="1">
        <f t="shared" si="19"/>
        <v>0</v>
      </c>
      <c r="K152" s="1">
        <f t="shared" si="19"/>
        <v>0</v>
      </c>
      <c r="L152" s="1">
        <f t="shared" si="19"/>
        <v>0</v>
      </c>
      <c r="M152" s="1">
        <f t="shared" si="16"/>
        <v>0</v>
      </c>
      <c r="N152" s="1">
        <f t="shared" si="16"/>
        <v>0</v>
      </c>
    </row>
    <row r="153" spans="1:14" x14ac:dyDescent="0.3">
      <c r="A153" s="2">
        <v>144</v>
      </c>
      <c r="B153" s="3">
        <f t="shared" si="17"/>
        <v>-3.0303030303028455</v>
      </c>
      <c r="D153" s="1">
        <f t="shared" si="19"/>
        <v>0</v>
      </c>
      <c r="E153" s="1">
        <f t="shared" si="15"/>
        <v>0</v>
      </c>
      <c r="F153" s="1">
        <f t="shared" si="19"/>
        <v>0</v>
      </c>
      <c r="G153" s="1">
        <f t="shared" si="19"/>
        <v>0</v>
      </c>
      <c r="H153" s="1">
        <f t="shared" si="19"/>
        <v>0.65151515151514228</v>
      </c>
      <c r="I153" s="1">
        <f t="shared" si="19"/>
        <v>0.34848484848485772</v>
      </c>
      <c r="J153" s="1">
        <f t="shared" si="19"/>
        <v>0</v>
      </c>
      <c r="K153" s="1">
        <f t="shared" si="19"/>
        <v>0</v>
      </c>
      <c r="L153" s="1">
        <f t="shared" si="19"/>
        <v>0</v>
      </c>
      <c r="M153" s="1">
        <f t="shared" si="16"/>
        <v>0</v>
      </c>
      <c r="N153" s="1">
        <f t="shared" si="16"/>
        <v>0</v>
      </c>
    </row>
    <row r="154" spans="1:14" x14ac:dyDescent="0.3">
      <c r="A154" s="2">
        <v>145</v>
      </c>
      <c r="B154" s="3">
        <f t="shared" si="17"/>
        <v>-2.3569023569021721</v>
      </c>
      <c r="D154" s="1">
        <f t="shared" si="19"/>
        <v>0</v>
      </c>
      <c r="E154" s="1">
        <f t="shared" si="15"/>
        <v>0</v>
      </c>
      <c r="F154" s="1">
        <f t="shared" si="19"/>
        <v>0</v>
      </c>
      <c r="G154" s="1">
        <f t="shared" si="19"/>
        <v>0</v>
      </c>
      <c r="H154" s="1">
        <f t="shared" si="19"/>
        <v>0.61784511784510854</v>
      </c>
      <c r="I154" s="1">
        <f t="shared" si="19"/>
        <v>0.38215488215489141</v>
      </c>
      <c r="J154" s="1">
        <f t="shared" si="19"/>
        <v>0</v>
      </c>
      <c r="K154" s="1">
        <f t="shared" si="19"/>
        <v>0</v>
      </c>
      <c r="L154" s="1">
        <f t="shared" si="19"/>
        <v>0</v>
      </c>
      <c r="M154" s="1">
        <f t="shared" si="16"/>
        <v>0</v>
      </c>
      <c r="N154" s="1">
        <f t="shared" si="16"/>
        <v>0</v>
      </c>
    </row>
    <row r="155" spans="1:14" x14ac:dyDescent="0.3">
      <c r="A155" s="2">
        <v>146</v>
      </c>
      <c r="B155" s="3">
        <f t="shared" si="17"/>
        <v>-1.6835016835014986</v>
      </c>
      <c r="D155" s="1">
        <f t="shared" si="19"/>
        <v>0</v>
      </c>
      <c r="E155" s="1">
        <f t="shared" si="15"/>
        <v>0</v>
      </c>
      <c r="F155" s="1">
        <f t="shared" si="19"/>
        <v>0</v>
      </c>
      <c r="G155" s="1">
        <f t="shared" si="19"/>
        <v>0</v>
      </c>
      <c r="H155" s="1">
        <f t="shared" si="19"/>
        <v>0.58417508417507491</v>
      </c>
      <c r="I155" s="1">
        <f t="shared" si="19"/>
        <v>0.41582491582492509</v>
      </c>
      <c r="J155" s="1">
        <f t="shared" si="19"/>
        <v>0</v>
      </c>
      <c r="K155" s="1">
        <f t="shared" si="19"/>
        <v>0</v>
      </c>
      <c r="L155" s="1">
        <f t="shared" si="19"/>
        <v>0</v>
      </c>
      <c r="M155" s="1">
        <f t="shared" si="16"/>
        <v>0</v>
      </c>
      <c r="N155" s="1">
        <f t="shared" si="16"/>
        <v>0</v>
      </c>
    </row>
    <row r="156" spans="1:14" x14ac:dyDescent="0.3">
      <c r="A156" s="2">
        <v>147</v>
      </c>
      <c r="B156" s="3">
        <f t="shared" si="17"/>
        <v>-1.0101010101008252</v>
      </c>
      <c r="D156" s="1">
        <f t="shared" si="19"/>
        <v>0</v>
      </c>
      <c r="E156" s="1">
        <f t="shared" si="15"/>
        <v>0</v>
      </c>
      <c r="F156" s="1">
        <f t="shared" si="19"/>
        <v>0</v>
      </c>
      <c r="G156" s="1">
        <f t="shared" si="19"/>
        <v>0</v>
      </c>
      <c r="H156" s="1">
        <f t="shared" si="19"/>
        <v>0.55050505050504128</v>
      </c>
      <c r="I156" s="1">
        <f t="shared" si="19"/>
        <v>0.44949494949495872</v>
      </c>
      <c r="J156" s="1">
        <f t="shared" si="19"/>
        <v>0</v>
      </c>
      <c r="K156" s="1">
        <f t="shared" si="19"/>
        <v>0</v>
      </c>
      <c r="L156" s="1">
        <f t="shared" si="19"/>
        <v>0</v>
      </c>
      <c r="M156" s="1">
        <f t="shared" si="16"/>
        <v>0</v>
      </c>
      <c r="N156" s="1">
        <f t="shared" si="16"/>
        <v>0</v>
      </c>
    </row>
    <row r="157" spans="1:14" x14ac:dyDescent="0.3">
      <c r="A157" s="2">
        <v>148</v>
      </c>
      <c r="B157" s="3">
        <f t="shared" si="17"/>
        <v>-0.33670033670015176</v>
      </c>
      <c r="D157" s="1">
        <f t="shared" si="19"/>
        <v>0</v>
      </c>
      <c r="E157" s="1">
        <f t="shared" si="15"/>
        <v>0</v>
      </c>
      <c r="F157" s="1">
        <f t="shared" si="19"/>
        <v>0</v>
      </c>
      <c r="G157" s="1">
        <f t="shared" si="19"/>
        <v>0</v>
      </c>
      <c r="H157" s="1">
        <f t="shared" si="19"/>
        <v>0.51683501683500754</v>
      </c>
      <c r="I157" s="1">
        <f t="shared" si="19"/>
        <v>0.48316498316499246</v>
      </c>
      <c r="J157" s="1">
        <f t="shared" si="19"/>
        <v>0</v>
      </c>
      <c r="K157" s="1">
        <f t="shared" si="19"/>
        <v>0</v>
      </c>
      <c r="L157" s="1">
        <f t="shared" si="19"/>
        <v>0</v>
      </c>
      <c r="M157" s="1">
        <f t="shared" si="16"/>
        <v>0</v>
      </c>
      <c r="N157" s="1">
        <f t="shared" si="16"/>
        <v>0</v>
      </c>
    </row>
    <row r="158" spans="1:14" x14ac:dyDescent="0.3">
      <c r="A158" s="2">
        <v>149</v>
      </c>
      <c r="B158" s="3">
        <f t="shared" si="17"/>
        <v>0.33670033670052169</v>
      </c>
      <c r="D158" s="1">
        <f t="shared" si="19"/>
        <v>0</v>
      </c>
      <c r="E158" s="1">
        <f t="shared" si="15"/>
        <v>0</v>
      </c>
      <c r="F158" s="1">
        <f t="shared" si="19"/>
        <v>0</v>
      </c>
      <c r="G158" s="1">
        <f t="shared" si="19"/>
        <v>0</v>
      </c>
      <c r="H158" s="1">
        <f t="shared" si="19"/>
        <v>0.48316498316497392</v>
      </c>
      <c r="I158" s="1">
        <f t="shared" si="19"/>
        <v>0.51683501683502608</v>
      </c>
      <c r="J158" s="1">
        <f t="shared" si="19"/>
        <v>0</v>
      </c>
      <c r="K158" s="1">
        <f t="shared" si="19"/>
        <v>0</v>
      </c>
      <c r="L158" s="1">
        <f t="shared" si="19"/>
        <v>0</v>
      </c>
      <c r="M158" s="1">
        <f t="shared" si="16"/>
        <v>0</v>
      </c>
      <c r="N158" s="1">
        <f t="shared" si="16"/>
        <v>0</v>
      </c>
    </row>
    <row r="159" spans="1:14" x14ac:dyDescent="0.3">
      <c r="A159" s="2">
        <v>150</v>
      </c>
      <c r="B159" s="3">
        <f t="shared" si="17"/>
        <v>1.0101010101011951</v>
      </c>
      <c r="D159" s="1">
        <f t="shared" si="19"/>
        <v>0</v>
      </c>
      <c r="E159" s="1">
        <f t="shared" si="15"/>
        <v>0</v>
      </c>
      <c r="F159" s="1">
        <f t="shared" si="19"/>
        <v>0</v>
      </c>
      <c r="G159" s="1">
        <f t="shared" si="19"/>
        <v>0</v>
      </c>
      <c r="H159" s="1">
        <f t="shared" si="19"/>
        <v>0.44949494949494023</v>
      </c>
      <c r="I159" s="1">
        <f t="shared" si="19"/>
        <v>0.55050505050505971</v>
      </c>
      <c r="J159" s="1">
        <f t="shared" si="19"/>
        <v>0</v>
      </c>
      <c r="K159" s="1">
        <f t="shared" si="19"/>
        <v>0</v>
      </c>
      <c r="L159" s="1">
        <f t="shared" si="19"/>
        <v>0</v>
      </c>
      <c r="M159" s="1">
        <f t="shared" si="16"/>
        <v>0</v>
      </c>
      <c r="N159" s="1">
        <f t="shared" si="16"/>
        <v>0</v>
      </c>
    </row>
    <row r="160" spans="1:14" x14ac:dyDescent="0.3">
      <c r="A160" s="2">
        <v>151</v>
      </c>
      <c r="B160" s="3">
        <f t="shared" si="17"/>
        <v>1.6835016835018686</v>
      </c>
      <c r="D160" s="1">
        <f t="shared" si="19"/>
        <v>0</v>
      </c>
      <c r="E160" s="1">
        <f t="shared" si="15"/>
        <v>0</v>
      </c>
      <c r="F160" s="1">
        <f t="shared" si="19"/>
        <v>0</v>
      </c>
      <c r="G160" s="1">
        <f t="shared" si="19"/>
        <v>0</v>
      </c>
      <c r="H160" s="1">
        <f t="shared" si="19"/>
        <v>0.4158249158249066</v>
      </c>
      <c r="I160" s="1">
        <f t="shared" si="19"/>
        <v>0.58417508417509345</v>
      </c>
      <c r="J160" s="1">
        <f t="shared" si="19"/>
        <v>0</v>
      </c>
      <c r="K160" s="1">
        <f t="shared" si="19"/>
        <v>0</v>
      </c>
      <c r="L160" s="1">
        <f t="shared" si="19"/>
        <v>0</v>
      </c>
      <c r="M160" s="1">
        <f t="shared" si="16"/>
        <v>0</v>
      </c>
      <c r="N160" s="1">
        <f t="shared" si="16"/>
        <v>0</v>
      </c>
    </row>
    <row r="161" spans="1:14" x14ac:dyDescent="0.3">
      <c r="A161" s="2">
        <v>152</v>
      </c>
      <c r="B161" s="3">
        <f t="shared" si="17"/>
        <v>2.356902356902542</v>
      </c>
      <c r="D161" s="1">
        <f t="shared" si="19"/>
        <v>0</v>
      </c>
      <c r="E161" s="1">
        <f t="shared" si="15"/>
        <v>0</v>
      </c>
      <c r="F161" s="1">
        <f t="shared" si="19"/>
        <v>0</v>
      </c>
      <c r="G161" s="1">
        <f t="shared" si="19"/>
        <v>0</v>
      </c>
      <c r="H161" s="1">
        <f t="shared" si="19"/>
        <v>0.38215488215487292</v>
      </c>
      <c r="I161" s="1">
        <f t="shared" si="19"/>
        <v>0.61784511784512708</v>
      </c>
      <c r="J161" s="1">
        <f t="shared" si="19"/>
        <v>0</v>
      </c>
      <c r="K161" s="1">
        <f t="shared" si="19"/>
        <v>0</v>
      </c>
      <c r="L161" s="1">
        <f t="shared" si="19"/>
        <v>0</v>
      </c>
      <c r="M161" s="1">
        <f t="shared" si="16"/>
        <v>0</v>
      </c>
      <c r="N161" s="1">
        <f t="shared" si="16"/>
        <v>0</v>
      </c>
    </row>
    <row r="162" spans="1:14" x14ac:dyDescent="0.3">
      <c r="A162" s="2">
        <v>153</v>
      </c>
      <c r="B162" s="3">
        <f t="shared" si="17"/>
        <v>3.0303030303032155</v>
      </c>
      <c r="D162" s="1">
        <f t="shared" si="19"/>
        <v>0</v>
      </c>
      <c r="E162" s="1">
        <f t="shared" si="15"/>
        <v>0</v>
      </c>
      <c r="F162" s="1">
        <f t="shared" si="19"/>
        <v>0</v>
      </c>
      <c r="G162" s="1">
        <f t="shared" si="19"/>
        <v>0</v>
      </c>
      <c r="H162" s="1">
        <f t="shared" si="19"/>
        <v>0.34848484848483918</v>
      </c>
      <c r="I162" s="1">
        <f t="shared" si="19"/>
        <v>0.65151515151516082</v>
      </c>
      <c r="J162" s="1">
        <f t="shared" si="19"/>
        <v>0</v>
      </c>
      <c r="K162" s="1">
        <f t="shared" si="19"/>
        <v>0</v>
      </c>
      <c r="L162" s="1">
        <f t="shared" si="19"/>
        <v>0</v>
      </c>
      <c r="M162" s="1">
        <f t="shared" si="16"/>
        <v>0</v>
      </c>
      <c r="N162" s="1">
        <f t="shared" si="16"/>
        <v>0</v>
      </c>
    </row>
    <row r="163" spans="1:14" x14ac:dyDescent="0.3">
      <c r="A163" s="2">
        <v>154</v>
      </c>
      <c r="B163" s="3">
        <f t="shared" si="17"/>
        <v>3.7037037037038889</v>
      </c>
      <c r="D163" s="1">
        <f t="shared" si="19"/>
        <v>0</v>
      </c>
      <c r="E163" s="1">
        <f t="shared" si="15"/>
        <v>0</v>
      </c>
      <c r="F163" s="1">
        <f t="shared" si="19"/>
        <v>0</v>
      </c>
      <c r="G163" s="1">
        <f t="shared" si="19"/>
        <v>0</v>
      </c>
      <c r="H163" s="1">
        <f t="shared" si="19"/>
        <v>0.31481481481480555</v>
      </c>
      <c r="I163" s="1">
        <f t="shared" si="19"/>
        <v>0.68518518518519445</v>
      </c>
      <c r="J163" s="1">
        <f t="shared" si="19"/>
        <v>0</v>
      </c>
      <c r="K163" s="1">
        <f t="shared" si="19"/>
        <v>0</v>
      </c>
      <c r="L163" s="1">
        <f t="shared" si="19"/>
        <v>0</v>
      </c>
      <c r="M163" s="1">
        <f t="shared" si="16"/>
        <v>0</v>
      </c>
      <c r="N163" s="1">
        <f t="shared" si="16"/>
        <v>0</v>
      </c>
    </row>
    <row r="164" spans="1:14" x14ac:dyDescent="0.3">
      <c r="A164" s="2">
        <v>155</v>
      </c>
      <c r="B164" s="3">
        <f t="shared" si="17"/>
        <v>4.3771043771045619</v>
      </c>
      <c r="D164" s="1">
        <f t="shared" si="19"/>
        <v>0</v>
      </c>
      <c r="E164" s="1">
        <f t="shared" si="15"/>
        <v>0</v>
      </c>
      <c r="F164" s="1">
        <f t="shared" si="19"/>
        <v>0</v>
      </c>
      <c r="G164" s="1">
        <f t="shared" si="19"/>
        <v>0</v>
      </c>
      <c r="H164" s="1">
        <f t="shared" si="19"/>
        <v>0.28114478114477193</v>
      </c>
      <c r="I164" s="1">
        <f t="shared" si="19"/>
        <v>0.71885521885522807</v>
      </c>
      <c r="J164" s="1">
        <f t="shared" si="19"/>
        <v>0</v>
      </c>
      <c r="K164" s="1">
        <f t="shared" si="19"/>
        <v>0</v>
      </c>
      <c r="L164" s="1">
        <f t="shared" si="19"/>
        <v>0</v>
      </c>
      <c r="M164" s="1">
        <f t="shared" si="16"/>
        <v>0</v>
      </c>
      <c r="N164" s="1">
        <f t="shared" si="16"/>
        <v>0</v>
      </c>
    </row>
    <row r="165" spans="1:14" x14ac:dyDescent="0.3">
      <c r="A165" s="2">
        <v>156</v>
      </c>
      <c r="B165" s="3">
        <f t="shared" si="17"/>
        <v>5.0505050505052349</v>
      </c>
      <c r="D165" s="1">
        <f t="shared" si="19"/>
        <v>0</v>
      </c>
      <c r="E165" s="1">
        <f t="shared" si="15"/>
        <v>0</v>
      </c>
      <c r="F165" s="1">
        <f t="shared" si="19"/>
        <v>0</v>
      </c>
      <c r="G165" s="1">
        <f t="shared" si="19"/>
        <v>0</v>
      </c>
      <c r="H165" s="1">
        <f t="shared" si="19"/>
        <v>0.24747474747473824</v>
      </c>
      <c r="I165" s="1">
        <f t="shared" si="19"/>
        <v>0.7525252525252617</v>
      </c>
      <c r="J165" s="1">
        <f t="shared" si="19"/>
        <v>0</v>
      </c>
      <c r="K165" s="1">
        <f t="shared" si="19"/>
        <v>0</v>
      </c>
      <c r="L165" s="1">
        <f t="shared" si="19"/>
        <v>0</v>
      </c>
      <c r="M165" s="1">
        <f t="shared" si="16"/>
        <v>0</v>
      </c>
      <c r="N165" s="1">
        <f t="shared" si="16"/>
        <v>0</v>
      </c>
    </row>
    <row r="166" spans="1:14" x14ac:dyDescent="0.3">
      <c r="A166" s="2">
        <v>157</v>
      </c>
      <c r="B166" s="3">
        <f t="shared" si="17"/>
        <v>5.7239057239059079</v>
      </c>
      <c r="D166" s="1">
        <f t="shared" si="19"/>
        <v>0</v>
      </c>
      <c r="E166" s="1">
        <f t="shared" si="15"/>
        <v>0</v>
      </c>
      <c r="F166" s="1">
        <f t="shared" si="19"/>
        <v>0</v>
      </c>
      <c r="G166" s="1">
        <f t="shared" si="19"/>
        <v>0</v>
      </c>
      <c r="H166" s="1">
        <f t="shared" si="19"/>
        <v>0.21380471380470462</v>
      </c>
      <c r="I166" s="1">
        <f t="shared" si="19"/>
        <v>0.78619528619529544</v>
      </c>
      <c r="J166" s="1">
        <f t="shared" si="19"/>
        <v>0</v>
      </c>
      <c r="K166" s="1">
        <f t="shared" si="19"/>
        <v>0</v>
      </c>
      <c r="L166" s="1">
        <f t="shared" si="19"/>
        <v>0</v>
      </c>
      <c r="M166" s="1">
        <f t="shared" si="16"/>
        <v>0</v>
      </c>
      <c r="N166" s="1">
        <f t="shared" si="16"/>
        <v>0</v>
      </c>
    </row>
    <row r="167" spans="1:14" x14ac:dyDescent="0.3">
      <c r="A167" s="2">
        <v>158</v>
      </c>
      <c r="B167" s="3">
        <f t="shared" si="17"/>
        <v>6.3973063973065809</v>
      </c>
      <c r="D167" s="1">
        <f t="shared" si="19"/>
        <v>0</v>
      </c>
      <c r="E167" s="1">
        <f t="shared" si="15"/>
        <v>0</v>
      </c>
      <c r="F167" s="1">
        <f t="shared" si="19"/>
        <v>0</v>
      </c>
      <c r="G167" s="1">
        <f t="shared" si="19"/>
        <v>0</v>
      </c>
      <c r="H167" s="1">
        <f t="shared" si="19"/>
        <v>0.18013468013467096</v>
      </c>
      <c r="I167" s="1">
        <f t="shared" si="19"/>
        <v>0.81986531986532896</v>
      </c>
      <c r="J167" s="1">
        <f t="shared" si="19"/>
        <v>0</v>
      </c>
      <c r="K167" s="1">
        <f t="shared" si="19"/>
        <v>0</v>
      </c>
      <c r="L167" s="1">
        <f t="shared" si="19"/>
        <v>0</v>
      </c>
      <c r="M167" s="1">
        <f t="shared" si="16"/>
        <v>0</v>
      </c>
      <c r="N167" s="1">
        <f t="shared" si="16"/>
        <v>0</v>
      </c>
    </row>
    <row r="168" spans="1:14" x14ac:dyDescent="0.3">
      <c r="A168" s="2">
        <v>159</v>
      </c>
      <c r="B168" s="3">
        <f t="shared" si="17"/>
        <v>7.0707070707072539</v>
      </c>
      <c r="D168" s="1">
        <f t="shared" si="19"/>
        <v>0</v>
      </c>
      <c r="E168" s="1">
        <f t="shared" si="15"/>
        <v>0</v>
      </c>
      <c r="F168" s="1">
        <f t="shared" si="19"/>
        <v>0</v>
      </c>
      <c r="G168" s="1">
        <f t="shared" si="19"/>
        <v>0</v>
      </c>
      <c r="H168" s="1">
        <f t="shared" si="19"/>
        <v>0.1464646464646373</v>
      </c>
      <c r="I168" s="1">
        <f t="shared" si="19"/>
        <v>0.8535353535353627</v>
      </c>
      <c r="J168" s="1">
        <f t="shared" si="19"/>
        <v>0</v>
      </c>
      <c r="K168" s="1">
        <f t="shared" si="19"/>
        <v>0</v>
      </c>
      <c r="L168" s="1">
        <f t="shared" si="19"/>
        <v>0</v>
      </c>
      <c r="M168" s="1">
        <f t="shared" si="16"/>
        <v>0</v>
      </c>
      <c r="N168" s="1">
        <f t="shared" si="16"/>
        <v>0</v>
      </c>
    </row>
    <row r="169" spans="1:14" x14ac:dyDescent="0.3">
      <c r="A169" s="2">
        <v>160</v>
      </c>
      <c r="B169" s="3">
        <f t="shared" si="17"/>
        <v>7.7441077441079269</v>
      </c>
      <c r="D169" s="1">
        <f t="shared" si="19"/>
        <v>0</v>
      </c>
      <c r="E169" s="1">
        <f t="shared" si="15"/>
        <v>0</v>
      </c>
      <c r="F169" s="1">
        <f t="shared" si="19"/>
        <v>0</v>
      </c>
      <c r="G169" s="1">
        <f t="shared" si="19"/>
        <v>0</v>
      </c>
      <c r="H169" s="1">
        <f t="shared" si="19"/>
        <v>0.11279461279460365</v>
      </c>
      <c r="I169" s="1">
        <f t="shared" si="19"/>
        <v>0.88720538720539643</v>
      </c>
      <c r="J169" s="1">
        <f t="shared" si="19"/>
        <v>0</v>
      </c>
      <c r="K169" s="1">
        <f t="shared" si="19"/>
        <v>0</v>
      </c>
      <c r="L169" s="1">
        <f t="shared" si="19"/>
        <v>0</v>
      </c>
      <c r="M169" s="1">
        <f t="shared" si="16"/>
        <v>0</v>
      </c>
      <c r="N169" s="1">
        <f t="shared" si="16"/>
        <v>0</v>
      </c>
    </row>
    <row r="170" spans="1:14" x14ac:dyDescent="0.3">
      <c r="A170" s="2">
        <v>161</v>
      </c>
      <c r="B170" s="3">
        <f t="shared" si="17"/>
        <v>8.4175084175085999</v>
      </c>
      <c r="D170" s="1">
        <f t="shared" si="19"/>
        <v>0</v>
      </c>
      <c r="E170" s="1">
        <f t="shared" si="15"/>
        <v>0</v>
      </c>
      <c r="F170" s="1">
        <f t="shared" si="19"/>
        <v>0</v>
      </c>
      <c r="G170" s="1">
        <f t="shared" si="19"/>
        <v>0</v>
      </c>
      <c r="H170" s="1">
        <f t="shared" si="19"/>
        <v>7.9124579124570008E-2</v>
      </c>
      <c r="I170" s="1">
        <f t="shared" si="19"/>
        <v>0.92087542087542995</v>
      </c>
      <c r="J170" s="1">
        <f t="shared" si="19"/>
        <v>0</v>
      </c>
      <c r="K170" s="1">
        <f t="shared" si="19"/>
        <v>0</v>
      </c>
      <c r="L170" s="1">
        <f t="shared" si="19"/>
        <v>0</v>
      </c>
      <c r="M170" s="1">
        <f t="shared" si="16"/>
        <v>0</v>
      </c>
      <c r="N170" s="1">
        <f t="shared" si="16"/>
        <v>0</v>
      </c>
    </row>
    <row r="171" spans="1:14" x14ac:dyDescent="0.3">
      <c r="A171" s="2">
        <v>162</v>
      </c>
      <c r="B171" s="3">
        <f t="shared" si="17"/>
        <v>9.0909090909092729</v>
      </c>
      <c r="D171" s="1">
        <f t="shared" si="19"/>
        <v>0</v>
      </c>
      <c r="E171" s="1">
        <f t="shared" si="15"/>
        <v>0</v>
      </c>
      <c r="F171" s="1">
        <f t="shared" si="19"/>
        <v>0</v>
      </c>
      <c r="G171" s="1">
        <f t="shared" si="19"/>
        <v>0</v>
      </c>
      <c r="H171" s="1">
        <f t="shared" si="19"/>
        <v>4.5454545454536352E-2</v>
      </c>
      <c r="I171" s="1">
        <f t="shared" si="19"/>
        <v>0.95454545454546358</v>
      </c>
      <c r="J171" s="1">
        <f t="shared" si="19"/>
        <v>0</v>
      </c>
      <c r="K171" s="1">
        <f t="shared" si="19"/>
        <v>0</v>
      </c>
      <c r="L171" s="1">
        <f t="shared" si="19"/>
        <v>0</v>
      </c>
      <c r="M171" s="1">
        <f t="shared" si="16"/>
        <v>0</v>
      </c>
      <c r="N171" s="1">
        <f t="shared" si="16"/>
        <v>0</v>
      </c>
    </row>
    <row r="172" spans="1:14" x14ac:dyDescent="0.3">
      <c r="A172" s="2">
        <v>163</v>
      </c>
      <c r="B172" s="3">
        <f t="shared" si="17"/>
        <v>9.7643097643099459</v>
      </c>
      <c r="D172" s="1">
        <f t="shared" si="19"/>
        <v>0</v>
      </c>
      <c r="E172" s="1">
        <f t="shared" si="15"/>
        <v>0</v>
      </c>
      <c r="F172" s="1">
        <f t="shared" si="19"/>
        <v>0</v>
      </c>
      <c r="G172" s="1">
        <f t="shared" si="19"/>
        <v>0</v>
      </c>
      <c r="H172" s="1">
        <f t="shared" si="19"/>
        <v>1.1784511784502705E-2</v>
      </c>
      <c r="I172" s="1">
        <f t="shared" si="19"/>
        <v>0.98821548821549732</v>
      </c>
      <c r="J172" s="1">
        <f t="shared" si="19"/>
        <v>0</v>
      </c>
      <c r="K172" s="1">
        <f t="shared" ref="K172" si="20">IF($B172&gt;K$5,0,IF($B172&gt;K$4,(K$5-$B172)/(K$5-K$4),IF($B172&gt;K$3,1,IF($B172&gt;K$2,($B172-K$2)/(K$3-K$2),0))))</f>
        <v>0</v>
      </c>
      <c r="L172" s="1">
        <f t="shared" si="19"/>
        <v>0</v>
      </c>
      <c r="M172" s="1">
        <f t="shared" si="16"/>
        <v>0</v>
      </c>
      <c r="N172" s="1">
        <f t="shared" si="16"/>
        <v>0</v>
      </c>
    </row>
    <row r="173" spans="1:14" x14ac:dyDescent="0.3">
      <c r="A173" s="2">
        <v>164</v>
      </c>
      <c r="B173" s="3">
        <f t="shared" si="17"/>
        <v>10.437710437710619</v>
      </c>
      <c r="D173" s="1">
        <f t="shared" ref="D173:L204" si="21">IF($B173&gt;D$5,0,IF($B173&gt;D$4,(D$5-$B173)/(D$5-D$4),IF($B173&gt;D$3,1,IF($B173&gt;D$2,($B173-D$2)/(D$3-D$2),0))))</f>
        <v>0</v>
      </c>
      <c r="E173" s="1">
        <f t="shared" ref="E173:E236" si="22">IF($B173&gt;E$5,0,IF($B173&gt;E$4,(E$5-$B173)/(E$5-E$4),IF($B173&gt;E$3,1,IF($B173&gt;E$2,($B173-E$2)/(E$3-E$2),0))))</f>
        <v>0</v>
      </c>
      <c r="F173" s="1">
        <f t="shared" si="21"/>
        <v>0</v>
      </c>
      <c r="G173" s="1">
        <f t="shared" si="21"/>
        <v>0</v>
      </c>
      <c r="H173" s="1">
        <f t="shared" si="21"/>
        <v>0</v>
      </c>
      <c r="I173" s="1">
        <f t="shared" si="21"/>
        <v>0.97811447811446894</v>
      </c>
      <c r="J173" s="1">
        <f t="shared" si="21"/>
        <v>2.1885521885530945E-2</v>
      </c>
      <c r="K173" s="1">
        <f t="shared" si="21"/>
        <v>0</v>
      </c>
      <c r="L173" s="1">
        <f t="shared" si="21"/>
        <v>0</v>
      </c>
      <c r="M173" s="1">
        <f t="shared" ref="M173:N236" si="23">IF($B173&gt;M$5,0,IF($B173&gt;M$4,(M$5-$B173)/(M$5-M$4),IF($B173&gt;M$3,1,IF($B173&gt;M$2,($B173-M$2)/(M$3-M$2),0))))</f>
        <v>0</v>
      </c>
      <c r="N173" s="1">
        <f t="shared" si="23"/>
        <v>0</v>
      </c>
    </row>
    <row r="174" spans="1:14" x14ac:dyDescent="0.3">
      <c r="A174" s="2">
        <v>165</v>
      </c>
      <c r="B174" s="3">
        <f t="shared" si="17"/>
        <v>11.111111111111292</v>
      </c>
      <c r="D174" s="1">
        <f t="shared" si="21"/>
        <v>0</v>
      </c>
      <c r="E174" s="1">
        <f t="shared" si="22"/>
        <v>0</v>
      </c>
      <c r="F174" s="1">
        <f t="shared" si="21"/>
        <v>0</v>
      </c>
      <c r="G174" s="1">
        <f t="shared" si="21"/>
        <v>0</v>
      </c>
      <c r="H174" s="1">
        <f t="shared" si="21"/>
        <v>0</v>
      </c>
      <c r="I174" s="1">
        <f t="shared" si="21"/>
        <v>0.94444444444443543</v>
      </c>
      <c r="J174" s="1">
        <f t="shared" si="21"/>
        <v>5.5555555555564594E-2</v>
      </c>
      <c r="K174" s="1">
        <f t="shared" si="21"/>
        <v>0</v>
      </c>
      <c r="L174" s="1">
        <f t="shared" si="21"/>
        <v>0</v>
      </c>
      <c r="M174" s="1">
        <f t="shared" si="23"/>
        <v>0</v>
      </c>
      <c r="N174" s="1">
        <f t="shared" si="23"/>
        <v>0</v>
      </c>
    </row>
    <row r="175" spans="1:14" x14ac:dyDescent="0.3">
      <c r="A175" s="2">
        <v>166</v>
      </c>
      <c r="B175" s="3">
        <f t="shared" si="17"/>
        <v>11.784511784511965</v>
      </c>
      <c r="D175" s="1">
        <f t="shared" si="21"/>
        <v>0</v>
      </c>
      <c r="E175" s="1">
        <f t="shared" si="22"/>
        <v>0</v>
      </c>
      <c r="F175" s="1">
        <f t="shared" si="21"/>
        <v>0</v>
      </c>
      <c r="G175" s="1">
        <f t="shared" si="21"/>
        <v>0</v>
      </c>
      <c r="H175" s="1">
        <f t="shared" si="21"/>
        <v>0</v>
      </c>
      <c r="I175" s="1">
        <f t="shared" si="21"/>
        <v>0.9107744107744018</v>
      </c>
      <c r="J175" s="1">
        <f t="shared" si="21"/>
        <v>8.9225589225598242E-2</v>
      </c>
      <c r="K175" s="1">
        <f t="shared" si="21"/>
        <v>0</v>
      </c>
      <c r="L175" s="1">
        <f t="shared" si="21"/>
        <v>0</v>
      </c>
      <c r="M175" s="1">
        <f t="shared" si="23"/>
        <v>0</v>
      </c>
      <c r="N175" s="1">
        <f t="shared" si="23"/>
        <v>0</v>
      </c>
    </row>
    <row r="176" spans="1:14" x14ac:dyDescent="0.3">
      <c r="A176" s="2">
        <v>167</v>
      </c>
      <c r="B176" s="3">
        <f t="shared" si="17"/>
        <v>12.457912457912638</v>
      </c>
      <c r="D176" s="1">
        <f t="shared" si="21"/>
        <v>0</v>
      </c>
      <c r="E176" s="1">
        <f t="shared" si="22"/>
        <v>0</v>
      </c>
      <c r="F176" s="1">
        <f t="shared" si="21"/>
        <v>0</v>
      </c>
      <c r="G176" s="1">
        <f t="shared" si="21"/>
        <v>0</v>
      </c>
      <c r="H176" s="1">
        <f t="shared" si="21"/>
        <v>0</v>
      </c>
      <c r="I176" s="1">
        <f t="shared" si="21"/>
        <v>0.87710437710436806</v>
      </c>
      <c r="J176" s="1">
        <f t="shared" si="21"/>
        <v>0.1228956228956319</v>
      </c>
      <c r="K176" s="1">
        <f t="shared" si="21"/>
        <v>0</v>
      </c>
      <c r="L176" s="1">
        <f t="shared" si="21"/>
        <v>0</v>
      </c>
      <c r="M176" s="1">
        <f t="shared" si="23"/>
        <v>0</v>
      </c>
      <c r="N176" s="1">
        <f t="shared" si="23"/>
        <v>0</v>
      </c>
    </row>
    <row r="177" spans="1:14" x14ac:dyDescent="0.3">
      <c r="A177" s="2">
        <v>168</v>
      </c>
      <c r="B177" s="3">
        <f t="shared" si="17"/>
        <v>13.131313131313311</v>
      </c>
      <c r="D177" s="1">
        <f t="shared" si="21"/>
        <v>0</v>
      </c>
      <c r="E177" s="1">
        <f t="shared" si="22"/>
        <v>0</v>
      </c>
      <c r="F177" s="1">
        <f t="shared" si="21"/>
        <v>0</v>
      </c>
      <c r="G177" s="1">
        <f t="shared" si="21"/>
        <v>0</v>
      </c>
      <c r="H177" s="1">
        <f t="shared" si="21"/>
        <v>0</v>
      </c>
      <c r="I177" s="1">
        <f t="shared" si="21"/>
        <v>0.84343434343433432</v>
      </c>
      <c r="J177" s="1">
        <f t="shared" si="21"/>
        <v>0.15656565656566554</v>
      </c>
      <c r="K177" s="1">
        <f t="shared" si="21"/>
        <v>0</v>
      </c>
      <c r="L177" s="1">
        <f t="shared" si="21"/>
        <v>0</v>
      </c>
      <c r="M177" s="1">
        <f t="shared" si="23"/>
        <v>0</v>
      </c>
      <c r="N177" s="1">
        <f t="shared" si="23"/>
        <v>0</v>
      </c>
    </row>
    <row r="178" spans="1:14" x14ac:dyDescent="0.3">
      <c r="A178" s="2">
        <v>169</v>
      </c>
      <c r="B178" s="3">
        <f t="shared" si="17"/>
        <v>13.804713804713984</v>
      </c>
      <c r="D178" s="1">
        <f t="shared" si="21"/>
        <v>0</v>
      </c>
      <c r="E178" s="1">
        <f t="shared" si="22"/>
        <v>0</v>
      </c>
      <c r="F178" s="1">
        <f t="shared" si="21"/>
        <v>0</v>
      </c>
      <c r="G178" s="1">
        <f t="shared" si="21"/>
        <v>0</v>
      </c>
      <c r="H178" s="1">
        <f t="shared" si="21"/>
        <v>0</v>
      </c>
      <c r="I178" s="1">
        <f t="shared" si="21"/>
        <v>0.8097643097643008</v>
      </c>
      <c r="J178" s="1">
        <f t="shared" si="21"/>
        <v>0.1902356902356992</v>
      </c>
      <c r="K178" s="1">
        <f t="shared" si="21"/>
        <v>0</v>
      </c>
      <c r="L178" s="1">
        <f t="shared" si="21"/>
        <v>0</v>
      </c>
      <c r="M178" s="1">
        <f t="shared" si="23"/>
        <v>0</v>
      </c>
      <c r="N178" s="1">
        <f t="shared" si="23"/>
        <v>0</v>
      </c>
    </row>
    <row r="179" spans="1:14" x14ac:dyDescent="0.3">
      <c r="A179" s="2">
        <v>170</v>
      </c>
      <c r="B179" s="3">
        <f t="shared" si="17"/>
        <v>14.478114478114657</v>
      </c>
      <c r="D179" s="1">
        <f t="shared" si="21"/>
        <v>0</v>
      </c>
      <c r="E179" s="1">
        <f t="shared" si="22"/>
        <v>0</v>
      </c>
      <c r="F179" s="1">
        <f t="shared" si="21"/>
        <v>0</v>
      </c>
      <c r="G179" s="1">
        <f t="shared" si="21"/>
        <v>0</v>
      </c>
      <c r="H179" s="1">
        <f t="shared" si="21"/>
        <v>0</v>
      </c>
      <c r="I179" s="1">
        <f t="shared" si="21"/>
        <v>0.77609427609426718</v>
      </c>
      <c r="J179" s="1">
        <f t="shared" si="21"/>
        <v>0.22390572390573285</v>
      </c>
      <c r="K179" s="1">
        <f t="shared" si="21"/>
        <v>0</v>
      </c>
      <c r="L179" s="1">
        <f t="shared" si="21"/>
        <v>0</v>
      </c>
      <c r="M179" s="1">
        <f t="shared" si="23"/>
        <v>0</v>
      </c>
      <c r="N179" s="1">
        <f t="shared" si="23"/>
        <v>0</v>
      </c>
    </row>
    <row r="180" spans="1:14" x14ac:dyDescent="0.3">
      <c r="A180" s="2">
        <v>171</v>
      </c>
      <c r="B180" s="3">
        <f t="shared" si="17"/>
        <v>15.15151515151533</v>
      </c>
      <c r="D180" s="1">
        <f t="shared" si="21"/>
        <v>0</v>
      </c>
      <c r="E180" s="1">
        <f t="shared" si="22"/>
        <v>0</v>
      </c>
      <c r="F180" s="1">
        <f t="shared" si="21"/>
        <v>0</v>
      </c>
      <c r="G180" s="1">
        <f t="shared" si="21"/>
        <v>0</v>
      </c>
      <c r="H180" s="1">
        <f t="shared" si="21"/>
        <v>0</v>
      </c>
      <c r="I180" s="1">
        <f t="shared" si="21"/>
        <v>0.74242424242423355</v>
      </c>
      <c r="J180" s="1">
        <f t="shared" si="21"/>
        <v>0.25757575757576651</v>
      </c>
      <c r="K180" s="1">
        <f t="shared" si="21"/>
        <v>0</v>
      </c>
      <c r="L180" s="1">
        <f t="shared" si="21"/>
        <v>0</v>
      </c>
      <c r="M180" s="1">
        <f t="shared" si="23"/>
        <v>0</v>
      </c>
      <c r="N180" s="1">
        <f t="shared" si="23"/>
        <v>0</v>
      </c>
    </row>
    <row r="181" spans="1:14" x14ac:dyDescent="0.3">
      <c r="A181" s="2">
        <v>172</v>
      </c>
      <c r="B181" s="3">
        <f t="shared" si="17"/>
        <v>15.824915824916003</v>
      </c>
      <c r="D181" s="1">
        <f t="shared" si="21"/>
        <v>0</v>
      </c>
      <c r="E181" s="1">
        <f t="shared" si="22"/>
        <v>0</v>
      </c>
      <c r="F181" s="1">
        <f t="shared" si="21"/>
        <v>0</v>
      </c>
      <c r="G181" s="1">
        <f t="shared" si="21"/>
        <v>0</v>
      </c>
      <c r="H181" s="1">
        <f t="shared" si="21"/>
        <v>0</v>
      </c>
      <c r="I181" s="1">
        <f t="shared" si="21"/>
        <v>0.70875420875419981</v>
      </c>
      <c r="J181" s="1">
        <f t="shared" si="21"/>
        <v>0.29124579124580013</v>
      </c>
      <c r="K181" s="1">
        <f t="shared" si="21"/>
        <v>0</v>
      </c>
      <c r="L181" s="1">
        <f t="shared" si="21"/>
        <v>0</v>
      </c>
      <c r="M181" s="1">
        <f t="shared" si="23"/>
        <v>0</v>
      </c>
      <c r="N181" s="1">
        <f t="shared" si="23"/>
        <v>0</v>
      </c>
    </row>
    <row r="182" spans="1:14" x14ac:dyDescent="0.3">
      <c r="A182" s="2">
        <v>173</v>
      </c>
      <c r="B182" s="3">
        <f t="shared" si="17"/>
        <v>16.498316498316676</v>
      </c>
      <c r="D182" s="1">
        <f t="shared" si="21"/>
        <v>0</v>
      </c>
      <c r="E182" s="1">
        <f t="shared" si="22"/>
        <v>0</v>
      </c>
      <c r="F182" s="1">
        <f t="shared" si="21"/>
        <v>0</v>
      </c>
      <c r="G182" s="1">
        <f t="shared" si="21"/>
        <v>0</v>
      </c>
      <c r="H182" s="1">
        <f t="shared" si="21"/>
        <v>0</v>
      </c>
      <c r="I182" s="1">
        <f t="shared" si="21"/>
        <v>0.67508417508416618</v>
      </c>
      <c r="J182" s="1">
        <f t="shared" si="21"/>
        <v>0.32491582491583382</v>
      </c>
      <c r="K182" s="1">
        <f t="shared" si="21"/>
        <v>0</v>
      </c>
      <c r="L182" s="1">
        <f t="shared" si="21"/>
        <v>0</v>
      </c>
      <c r="M182" s="1">
        <f t="shared" si="23"/>
        <v>0</v>
      </c>
      <c r="N182" s="1">
        <f t="shared" si="23"/>
        <v>0</v>
      </c>
    </row>
    <row r="183" spans="1:14" x14ac:dyDescent="0.3">
      <c r="A183" s="2">
        <v>174</v>
      </c>
      <c r="B183" s="3">
        <f t="shared" si="17"/>
        <v>17.171717171717351</v>
      </c>
      <c r="D183" s="1">
        <f t="shared" si="21"/>
        <v>0</v>
      </c>
      <c r="E183" s="1">
        <f t="shared" si="22"/>
        <v>0</v>
      </c>
      <c r="F183" s="1">
        <f t="shared" si="21"/>
        <v>0</v>
      </c>
      <c r="G183" s="1">
        <f t="shared" si="21"/>
        <v>0</v>
      </c>
      <c r="H183" s="1">
        <f t="shared" si="21"/>
        <v>0</v>
      </c>
      <c r="I183" s="1">
        <f t="shared" si="21"/>
        <v>0.64141414141413244</v>
      </c>
      <c r="J183" s="1">
        <f t="shared" si="21"/>
        <v>0.35858585858586756</v>
      </c>
      <c r="K183" s="1">
        <f t="shared" si="21"/>
        <v>0</v>
      </c>
      <c r="L183" s="1">
        <f t="shared" si="21"/>
        <v>0</v>
      </c>
      <c r="M183" s="1">
        <f t="shared" si="23"/>
        <v>0</v>
      </c>
      <c r="N183" s="1">
        <f t="shared" si="23"/>
        <v>0</v>
      </c>
    </row>
    <row r="184" spans="1:14" x14ac:dyDescent="0.3">
      <c r="A184" s="2">
        <v>175</v>
      </c>
      <c r="B184" s="3">
        <f t="shared" si="17"/>
        <v>17.845117845118025</v>
      </c>
      <c r="D184" s="1">
        <f t="shared" si="21"/>
        <v>0</v>
      </c>
      <c r="E184" s="1">
        <f t="shared" si="22"/>
        <v>0</v>
      </c>
      <c r="F184" s="1">
        <f t="shared" si="21"/>
        <v>0</v>
      </c>
      <c r="G184" s="1">
        <f t="shared" si="21"/>
        <v>0</v>
      </c>
      <c r="H184" s="1">
        <f t="shared" si="21"/>
        <v>0</v>
      </c>
      <c r="I184" s="1">
        <f t="shared" si="21"/>
        <v>0.6077441077440987</v>
      </c>
      <c r="J184" s="1">
        <f t="shared" si="21"/>
        <v>0.3922558922559013</v>
      </c>
      <c r="K184" s="1">
        <f t="shared" si="21"/>
        <v>0</v>
      </c>
      <c r="L184" s="1">
        <f t="shared" si="21"/>
        <v>0</v>
      </c>
      <c r="M184" s="1">
        <f t="shared" si="23"/>
        <v>0</v>
      </c>
      <c r="N184" s="1">
        <f t="shared" si="23"/>
        <v>0</v>
      </c>
    </row>
    <row r="185" spans="1:14" x14ac:dyDescent="0.3">
      <c r="A185" s="2">
        <v>176</v>
      </c>
      <c r="B185" s="3">
        <f t="shared" si="17"/>
        <v>18.5185185185187</v>
      </c>
      <c r="D185" s="1">
        <f t="shared" si="21"/>
        <v>0</v>
      </c>
      <c r="E185" s="1">
        <f t="shared" si="22"/>
        <v>0</v>
      </c>
      <c r="F185" s="1">
        <f t="shared" si="21"/>
        <v>0</v>
      </c>
      <c r="G185" s="1">
        <f t="shared" si="21"/>
        <v>0</v>
      </c>
      <c r="H185" s="1">
        <f t="shared" si="21"/>
        <v>0</v>
      </c>
      <c r="I185" s="1">
        <f t="shared" si="21"/>
        <v>0.57407407407406497</v>
      </c>
      <c r="J185" s="1">
        <f t="shared" si="21"/>
        <v>0.42592592592593503</v>
      </c>
      <c r="K185" s="1">
        <f t="shared" si="21"/>
        <v>0</v>
      </c>
      <c r="L185" s="1">
        <f t="shared" si="21"/>
        <v>0</v>
      </c>
      <c r="M185" s="1">
        <f t="shared" si="23"/>
        <v>0</v>
      </c>
      <c r="N185" s="1">
        <f t="shared" si="23"/>
        <v>0</v>
      </c>
    </row>
    <row r="186" spans="1:14" x14ac:dyDescent="0.3">
      <c r="A186" s="2">
        <v>177</v>
      </c>
      <c r="B186" s="3">
        <f t="shared" si="17"/>
        <v>19.191919191919375</v>
      </c>
      <c r="D186" s="1">
        <f t="shared" si="21"/>
        <v>0</v>
      </c>
      <c r="E186" s="1">
        <f t="shared" si="22"/>
        <v>0</v>
      </c>
      <c r="F186" s="1">
        <f t="shared" si="21"/>
        <v>0</v>
      </c>
      <c r="G186" s="1">
        <f t="shared" si="21"/>
        <v>0</v>
      </c>
      <c r="H186" s="1">
        <f t="shared" si="21"/>
        <v>0</v>
      </c>
      <c r="I186" s="1">
        <f t="shared" si="21"/>
        <v>0.54040404040403123</v>
      </c>
      <c r="J186" s="1">
        <f t="shared" si="21"/>
        <v>0.45959595959596877</v>
      </c>
      <c r="K186" s="1">
        <f t="shared" si="21"/>
        <v>0</v>
      </c>
      <c r="L186" s="1">
        <f t="shared" si="21"/>
        <v>0</v>
      </c>
      <c r="M186" s="1">
        <f t="shared" si="23"/>
        <v>0</v>
      </c>
      <c r="N186" s="1">
        <f t="shared" si="23"/>
        <v>0</v>
      </c>
    </row>
    <row r="187" spans="1:14" x14ac:dyDescent="0.3">
      <c r="A187" s="2">
        <v>178</v>
      </c>
      <c r="B187" s="3">
        <f t="shared" si="17"/>
        <v>19.86531986532005</v>
      </c>
      <c r="D187" s="1">
        <f t="shared" si="21"/>
        <v>0</v>
      </c>
      <c r="E187" s="1">
        <f t="shared" si="22"/>
        <v>0</v>
      </c>
      <c r="F187" s="1">
        <f t="shared" si="21"/>
        <v>0</v>
      </c>
      <c r="G187" s="1">
        <f t="shared" si="21"/>
        <v>0</v>
      </c>
      <c r="H187" s="1">
        <f t="shared" si="21"/>
        <v>0</v>
      </c>
      <c r="I187" s="1">
        <f t="shared" si="21"/>
        <v>0.50673400673399749</v>
      </c>
      <c r="J187" s="1">
        <f t="shared" si="21"/>
        <v>0.49326599326600251</v>
      </c>
      <c r="K187" s="1">
        <f t="shared" si="21"/>
        <v>0</v>
      </c>
      <c r="L187" s="1">
        <f t="shared" si="21"/>
        <v>0</v>
      </c>
      <c r="M187" s="1">
        <f t="shared" si="23"/>
        <v>0</v>
      </c>
      <c r="N187" s="1">
        <f t="shared" si="23"/>
        <v>0</v>
      </c>
    </row>
    <row r="188" spans="1:14" x14ac:dyDescent="0.3">
      <c r="A188" s="2">
        <v>179</v>
      </c>
      <c r="B188" s="3">
        <f t="shared" si="17"/>
        <v>20.538720538720725</v>
      </c>
      <c r="D188" s="1">
        <f t="shared" si="21"/>
        <v>0</v>
      </c>
      <c r="E188" s="1">
        <f t="shared" si="22"/>
        <v>0</v>
      </c>
      <c r="F188" s="1">
        <f t="shared" si="21"/>
        <v>0</v>
      </c>
      <c r="G188" s="1">
        <f t="shared" si="21"/>
        <v>0</v>
      </c>
      <c r="H188" s="1">
        <f t="shared" si="21"/>
        <v>0</v>
      </c>
      <c r="I188" s="1">
        <f t="shared" si="21"/>
        <v>0.47306397306396375</v>
      </c>
      <c r="J188" s="1">
        <f t="shared" si="21"/>
        <v>0.52693602693603625</v>
      </c>
      <c r="K188" s="1">
        <f t="shared" si="21"/>
        <v>0</v>
      </c>
      <c r="L188" s="1">
        <f t="shared" si="21"/>
        <v>0</v>
      </c>
      <c r="M188" s="1">
        <f t="shared" si="23"/>
        <v>0</v>
      </c>
      <c r="N188" s="1">
        <f t="shared" si="23"/>
        <v>0</v>
      </c>
    </row>
    <row r="189" spans="1:14" x14ac:dyDescent="0.3">
      <c r="A189" s="2">
        <v>180</v>
      </c>
      <c r="B189" s="3">
        <f t="shared" si="17"/>
        <v>21.212121212121399</v>
      </c>
      <c r="D189" s="1">
        <f t="shared" si="21"/>
        <v>0</v>
      </c>
      <c r="E189" s="1">
        <f t="shared" si="22"/>
        <v>0</v>
      </c>
      <c r="F189" s="1">
        <f t="shared" si="21"/>
        <v>0</v>
      </c>
      <c r="G189" s="1">
        <f t="shared" si="21"/>
        <v>0</v>
      </c>
      <c r="H189" s="1">
        <f t="shared" si="21"/>
        <v>0</v>
      </c>
      <c r="I189" s="1">
        <f t="shared" si="21"/>
        <v>0.43939393939393001</v>
      </c>
      <c r="J189" s="1">
        <f t="shared" si="21"/>
        <v>0.56060606060606999</v>
      </c>
      <c r="K189" s="1">
        <f t="shared" si="21"/>
        <v>0</v>
      </c>
      <c r="L189" s="1">
        <f t="shared" si="21"/>
        <v>0</v>
      </c>
      <c r="M189" s="1">
        <f t="shared" si="23"/>
        <v>0</v>
      </c>
      <c r="N189" s="1">
        <f t="shared" si="23"/>
        <v>0</v>
      </c>
    </row>
    <row r="190" spans="1:14" x14ac:dyDescent="0.3">
      <c r="A190" s="2">
        <v>181</v>
      </c>
      <c r="B190" s="3">
        <f t="shared" si="17"/>
        <v>21.885521885522074</v>
      </c>
      <c r="D190" s="1">
        <f t="shared" si="21"/>
        <v>0</v>
      </c>
      <c r="E190" s="1">
        <f t="shared" si="22"/>
        <v>0</v>
      </c>
      <c r="F190" s="1">
        <f t="shared" si="21"/>
        <v>0</v>
      </c>
      <c r="G190" s="1">
        <f t="shared" si="21"/>
        <v>0</v>
      </c>
      <c r="H190" s="1">
        <f t="shared" si="21"/>
        <v>0</v>
      </c>
      <c r="I190" s="1">
        <f t="shared" si="21"/>
        <v>0.40572390572389627</v>
      </c>
      <c r="J190" s="1">
        <f t="shared" si="21"/>
        <v>0.59427609427610373</v>
      </c>
      <c r="K190" s="1">
        <f t="shared" si="21"/>
        <v>0</v>
      </c>
      <c r="L190" s="1">
        <f t="shared" si="21"/>
        <v>0</v>
      </c>
      <c r="M190" s="1">
        <f t="shared" si="23"/>
        <v>0</v>
      </c>
      <c r="N190" s="1">
        <f t="shared" si="23"/>
        <v>0</v>
      </c>
    </row>
    <row r="191" spans="1:14" x14ac:dyDescent="0.3">
      <c r="A191" s="2">
        <v>182</v>
      </c>
      <c r="B191" s="3">
        <f t="shared" si="17"/>
        <v>22.558922558922749</v>
      </c>
      <c r="D191" s="1">
        <f t="shared" si="21"/>
        <v>0</v>
      </c>
      <c r="E191" s="1">
        <f t="shared" si="22"/>
        <v>0</v>
      </c>
      <c r="F191" s="1">
        <f t="shared" si="21"/>
        <v>0</v>
      </c>
      <c r="G191" s="1">
        <f t="shared" si="21"/>
        <v>0</v>
      </c>
      <c r="H191" s="1">
        <f t="shared" si="21"/>
        <v>0</v>
      </c>
      <c r="I191" s="1">
        <f t="shared" si="21"/>
        <v>0.37205387205386253</v>
      </c>
      <c r="J191" s="1">
        <f t="shared" si="21"/>
        <v>0.62794612794613747</v>
      </c>
      <c r="K191" s="1">
        <f t="shared" si="21"/>
        <v>0</v>
      </c>
      <c r="L191" s="1">
        <f t="shared" si="21"/>
        <v>0</v>
      </c>
      <c r="M191" s="1">
        <f t="shared" si="23"/>
        <v>0</v>
      </c>
      <c r="N191" s="1">
        <f t="shared" si="23"/>
        <v>0</v>
      </c>
    </row>
    <row r="192" spans="1:14" x14ac:dyDescent="0.3">
      <c r="A192" s="2">
        <v>183</v>
      </c>
      <c r="B192" s="3">
        <f t="shared" si="17"/>
        <v>23.232323232323424</v>
      </c>
      <c r="D192" s="1">
        <f t="shared" si="21"/>
        <v>0</v>
      </c>
      <c r="E192" s="1">
        <f t="shared" si="22"/>
        <v>0</v>
      </c>
      <c r="F192" s="1">
        <f t="shared" si="21"/>
        <v>0</v>
      </c>
      <c r="G192" s="1">
        <f t="shared" si="21"/>
        <v>0</v>
      </c>
      <c r="H192" s="1">
        <f t="shared" si="21"/>
        <v>0</v>
      </c>
      <c r="I192" s="1">
        <f t="shared" si="21"/>
        <v>0.33838383838382879</v>
      </c>
      <c r="J192" s="1">
        <f t="shared" si="21"/>
        <v>0.66161616161617121</v>
      </c>
      <c r="K192" s="1">
        <f t="shared" si="21"/>
        <v>0</v>
      </c>
      <c r="L192" s="1">
        <f t="shared" si="21"/>
        <v>0</v>
      </c>
      <c r="M192" s="1">
        <f t="shared" si="23"/>
        <v>0</v>
      </c>
      <c r="N192" s="1">
        <f t="shared" si="23"/>
        <v>0</v>
      </c>
    </row>
    <row r="193" spans="1:14" x14ac:dyDescent="0.3">
      <c r="A193" s="2">
        <v>184</v>
      </c>
      <c r="B193" s="3">
        <f t="shared" si="17"/>
        <v>23.905723905724098</v>
      </c>
      <c r="D193" s="1">
        <f t="shared" si="21"/>
        <v>0</v>
      </c>
      <c r="E193" s="1">
        <f t="shared" si="22"/>
        <v>0</v>
      </c>
      <c r="F193" s="1">
        <f t="shared" si="21"/>
        <v>0</v>
      </c>
      <c r="G193" s="1">
        <f t="shared" si="21"/>
        <v>0</v>
      </c>
      <c r="H193" s="1">
        <f t="shared" si="21"/>
        <v>0</v>
      </c>
      <c r="I193" s="1">
        <f t="shared" si="21"/>
        <v>0.30471380471379506</v>
      </c>
      <c r="J193" s="1">
        <f t="shared" si="21"/>
        <v>0.69528619528620494</v>
      </c>
      <c r="K193" s="1">
        <f t="shared" si="21"/>
        <v>0</v>
      </c>
      <c r="L193" s="1">
        <f t="shared" si="21"/>
        <v>0</v>
      </c>
      <c r="M193" s="1">
        <f t="shared" si="23"/>
        <v>0</v>
      </c>
      <c r="N193" s="1">
        <f t="shared" si="23"/>
        <v>0</v>
      </c>
    </row>
    <row r="194" spans="1:14" x14ac:dyDescent="0.3">
      <c r="A194" s="2">
        <v>185</v>
      </c>
      <c r="B194" s="3">
        <f t="shared" si="17"/>
        <v>24.579124579124773</v>
      </c>
      <c r="D194" s="1">
        <f t="shared" si="21"/>
        <v>0</v>
      </c>
      <c r="E194" s="1">
        <f t="shared" si="22"/>
        <v>0</v>
      </c>
      <c r="F194" s="1">
        <f t="shared" si="21"/>
        <v>0</v>
      </c>
      <c r="G194" s="1">
        <f t="shared" si="21"/>
        <v>0</v>
      </c>
      <c r="H194" s="1">
        <f t="shared" si="21"/>
        <v>0</v>
      </c>
      <c r="I194" s="1">
        <f t="shared" si="21"/>
        <v>0.27104377104376132</v>
      </c>
      <c r="J194" s="1">
        <f t="shared" si="21"/>
        <v>0.72895622895623868</v>
      </c>
      <c r="K194" s="1">
        <f t="shared" si="21"/>
        <v>0</v>
      </c>
      <c r="L194" s="1">
        <f t="shared" si="21"/>
        <v>0</v>
      </c>
      <c r="M194" s="1">
        <f t="shared" si="23"/>
        <v>0</v>
      </c>
      <c r="N194" s="1">
        <f t="shared" si="23"/>
        <v>0</v>
      </c>
    </row>
    <row r="195" spans="1:14" x14ac:dyDescent="0.3">
      <c r="A195" s="2">
        <v>186</v>
      </c>
      <c r="B195" s="3">
        <f t="shared" si="17"/>
        <v>25.252525252525448</v>
      </c>
      <c r="D195" s="1">
        <f t="shared" si="21"/>
        <v>0</v>
      </c>
      <c r="E195" s="1">
        <f t="shared" si="22"/>
        <v>0</v>
      </c>
      <c r="F195" s="1">
        <f t="shared" si="21"/>
        <v>0</v>
      </c>
      <c r="G195" s="1">
        <f t="shared" si="21"/>
        <v>0</v>
      </c>
      <c r="H195" s="1">
        <f t="shared" si="21"/>
        <v>0</v>
      </c>
      <c r="I195" s="1">
        <f t="shared" si="21"/>
        <v>0.23737373737372761</v>
      </c>
      <c r="J195" s="1">
        <f t="shared" si="21"/>
        <v>0.76262626262627242</v>
      </c>
      <c r="K195" s="1">
        <f t="shared" si="21"/>
        <v>0</v>
      </c>
      <c r="L195" s="1">
        <f t="shared" si="21"/>
        <v>0</v>
      </c>
      <c r="M195" s="1">
        <f t="shared" si="23"/>
        <v>0</v>
      </c>
      <c r="N195" s="1">
        <f t="shared" si="23"/>
        <v>0</v>
      </c>
    </row>
    <row r="196" spans="1:14" x14ac:dyDescent="0.3">
      <c r="A196" s="2">
        <v>187</v>
      </c>
      <c r="B196" s="3">
        <f t="shared" si="17"/>
        <v>25.925925925926123</v>
      </c>
      <c r="D196" s="1">
        <f t="shared" si="21"/>
        <v>0</v>
      </c>
      <c r="E196" s="1">
        <f t="shared" si="22"/>
        <v>0</v>
      </c>
      <c r="F196" s="1">
        <f t="shared" si="21"/>
        <v>0</v>
      </c>
      <c r="G196" s="1">
        <f t="shared" si="21"/>
        <v>0</v>
      </c>
      <c r="H196" s="1">
        <f t="shared" si="21"/>
        <v>0</v>
      </c>
      <c r="I196" s="1">
        <f t="shared" si="21"/>
        <v>0.20370370370369387</v>
      </c>
      <c r="J196" s="1">
        <f t="shared" si="21"/>
        <v>0.79629629629630616</v>
      </c>
      <c r="K196" s="1">
        <f t="shared" si="21"/>
        <v>0</v>
      </c>
      <c r="L196" s="1">
        <f t="shared" si="21"/>
        <v>0</v>
      </c>
      <c r="M196" s="1">
        <f t="shared" si="23"/>
        <v>0</v>
      </c>
      <c r="N196" s="1">
        <f t="shared" si="23"/>
        <v>0</v>
      </c>
    </row>
    <row r="197" spans="1:14" x14ac:dyDescent="0.3">
      <c r="A197" s="2">
        <v>188</v>
      </c>
      <c r="B197" s="3">
        <f t="shared" si="17"/>
        <v>26.599326599326798</v>
      </c>
      <c r="D197" s="1">
        <f t="shared" si="21"/>
        <v>0</v>
      </c>
      <c r="E197" s="1">
        <f t="shared" si="22"/>
        <v>0</v>
      </c>
      <c r="F197" s="1">
        <f t="shared" si="21"/>
        <v>0</v>
      </c>
      <c r="G197" s="1">
        <f t="shared" si="21"/>
        <v>0</v>
      </c>
      <c r="H197" s="1">
        <f t="shared" si="21"/>
        <v>0</v>
      </c>
      <c r="I197" s="1">
        <f t="shared" si="21"/>
        <v>0.17003367003366013</v>
      </c>
      <c r="J197" s="1">
        <f t="shared" si="21"/>
        <v>0.8299663299663399</v>
      </c>
      <c r="K197" s="1">
        <f t="shared" si="21"/>
        <v>0</v>
      </c>
      <c r="L197" s="1">
        <f t="shared" si="21"/>
        <v>0</v>
      </c>
      <c r="M197" s="1">
        <f t="shared" si="23"/>
        <v>0</v>
      </c>
      <c r="N197" s="1">
        <f t="shared" si="23"/>
        <v>0</v>
      </c>
    </row>
    <row r="198" spans="1:14" x14ac:dyDescent="0.3">
      <c r="A198" s="2">
        <v>189</v>
      </c>
      <c r="B198" s="3">
        <f t="shared" si="17"/>
        <v>27.272727272727472</v>
      </c>
      <c r="D198" s="1">
        <f t="shared" si="21"/>
        <v>0</v>
      </c>
      <c r="E198" s="1">
        <f t="shared" si="22"/>
        <v>0</v>
      </c>
      <c r="F198" s="1">
        <f t="shared" si="21"/>
        <v>0</v>
      </c>
      <c r="G198" s="1">
        <f t="shared" si="21"/>
        <v>0</v>
      </c>
      <c r="H198" s="1">
        <f t="shared" si="21"/>
        <v>0</v>
      </c>
      <c r="I198" s="1">
        <f t="shared" si="21"/>
        <v>0.13636363636362639</v>
      </c>
      <c r="J198" s="1">
        <f t="shared" si="21"/>
        <v>0.86363636363637364</v>
      </c>
      <c r="K198" s="1">
        <f t="shared" si="21"/>
        <v>0</v>
      </c>
      <c r="L198" s="1">
        <f t="shared" si="21"/>
        <v>0</v>
      </c>
      <c r="M198" s="1">
        <f t="shared" si="23"/>
        <v>0</v>
      </c>
      <c r="N198" s="1">
        <f t="shared" si="23"/>
        <v>0</v>
      </c>
    </row>
    <row r="199" spans="1:14" x14ac:dyDescent="0.3">
      <c r="A199" s="2">
        <v>190</v>
      </c>
      <c r="B199" s="3">
        <f t="shared" si="17"/>
        <v>27.946127946128147</v>
      </c>
      <c r="D199" s="1">
        <f t="shared" si="21"/>
        <v>0</v>
      </c>
      <c r="E199" s="1">
        <f t="shared" si="22"/>
        <v>0</v>
      </c>
      <c r="F199" s="1">
        <f t="shared" si="21"/>
        <v>0</v>
      </c>
      <c r="G199" s="1">
        <f t="shared" si="21"/>
        <v>0</v>
      </c>
      <c r="H199" s="1">
        <f t="shared" si="21"/>
        <v>0</v>
      </c>
      <c r="I199" s="1">
        <f t="shared" si="21"/>
        <v>0.10269360269359265</v>
      </c>
      <c r="J199" s="1">
        <f t="shared" si="21"/>
        <v>0.89730639730640738</v>
      </c>
      <c r="K199" s="1">
        <f t="shared" si="21"/>
        <v>0</v>
      </c>
      <c r="L199" s="1">
        <f t="shared" si="21"/>
        <v>0</v>
      </c>
      <c r="M199" s="1">
        <f t="shared" si="23"/>
        <v>0</v>
      </c>
      <c r="N199" s="1">
        <f t="shared" si="23"/>
        <v>0</v>
      </c>
    </row>
    <row r="200" spans="1:14" x14ac:dyDescent="0.3">
      <c r="A200" s="2">
        <v>191</v>
      </c>
      <c r="B200" s="3">
        <f t="shared" si="17"/>
        <v>28.619528619528822</v>
      </c>
      <c r="D200" s="1">
        <f t="shared" si="21"/>
        <v>0</v>
      </c>
      <c r="E200" s="1">
        <f t="shared" si="22"/>
        <v>0</v>
      </c>
      <c r="F200" s="1">
        <f t="shared" si="21"/>
        <v>0</v>
      </c>
      <c r="G200" s="1">
        <f t="shared" si="21"/>
        <v>0</v>
      </c>
      <c r="H200" s="1">
        <f t="shared" si="21"/>
        <v>0</v>
      </c>
      <c r="I200" s="1">
        <f t="shared" si="21"/>
        <v>6.9023569023558912E-2</v>
      </c>
      <c r="J200" s="1">
        <f t="shared" si="21"/>
        <v>0.93097643097644112</v>
      </c>
      <c r="K200" s="1">
        <f t="shared" si="21"/>
        <v>0</v>
      </c>
      <c r="L200" s="1">
        <f t="shared" si="21"/>
        <v>0</v>
      </c>
      <c r="M200" s="1">
        <f t="shared" si="23"/>
        <v>0</v>
      </c>
      <c r="N200" s="1">
        <f t="shared" si="23"/>
        <v>0</v>
      </c>
    </row>
    <row r="201" spans="1:14" x14ac:dyDescent="0.3">
      <c r="A201" s="2">
        <v>192</v>
      </c>
      <c r="B201" s="3">
        <f t="shared" si="17"/>
        <v>29.292929292929497</v>
      </c>
      <c r="D201" s="1">
        <f t="shared" si="21"/>
        <v>0</v>
      </c>
      <c r="E201" s="1">
        <f t="shared" si="22"/>
        <v>0</v>
      </c>
      <c r="F201" s="1">
        <f t="shared" si="21"/>
        <v>0</v>
      </c>
      <c r="G201" s="1">
        <f t="shared" si="21"/>
        <v>0</v>
      </c>
      <c r="H201" s="1">
        <f t="shared" si="21"/>
        <v>0</v>
      </c>
      <c r="I201" s="1">
        <f t="shared" si="21"/>
        <v>3.5353535353525166E-2</v>
      </c>
      <c r="J201" s="1">
        <f t="shared" si="21"/>
        <v>0.96464646464647485</v>
      </c>
      <c r="K201" s="1">
        <f t="shared" si="21"/>
        <v>0</v>
      </c>
      <c r="L201" s="1">
        <f t="shared" si="21"/>
        <v>0</v>
      </c>
      <c r="M201" s="1">
        <f t="shared" si="23"/>
        <v>0</v>
      </c>
      <c r="N201" s="1">
        <f t="shared" si="23"/>
        <v>0</v>
      </c>
    </row>
    <row r="202" spans="1:14" x14ac:dyDescent="0.3">
      <c r="A202" s="2">
        <v>193</v>
      </c>
      <c r="B202" s="3">
        <f t="shared" si="17"/>
        <v>29.966329966330171</v>
      </c>
      <c r="D202" s="1">
        <f t="shared" si="21"/>
        <v>0</v>
      </c>
      <c r="E202" s="1">
        <f t="shared" si="22"/>
        <v>0</v>
      </c>
      <c r="F202" s="1">
        <f t="shared" si="21"/>
        <v>0</v>
      </c>
      <c r="G202" s="1">
        <f t="shared" si="21"/>
        <v>0</v>
      </c>
      <c r="H202" s="1">
        <f t="shared" si="21"/>
        <v>0</v>
      </c>
      <c r="I202" s="1">
        <f t="shared" si="21"/>
        <v>1.6835016834914284E-3</v>
      </c>
      <c r="J202" s="1">
        <f t="shared" si="21"/>
        <v>0.99831649831650859</v>
      </c>
      <c r="K202" s="1">
        <f t="shared" si="21"/>
        <v>0</v>
      </c>
      <c r="L202" s="1">
        <f t="shared" si="21"/>
        <v>0</v>
      </c>
      <c r="M202" s="1">
        <f t="shared" si="23"/>
        <v>0</v>
      </c>
      <c r="N202" s="1">
        <f t="shared" si="23"/>
        <v>0</v>
      </c>
    </row>
    <row r="203" spans="1:14" x14ac:dyDescent="0.3">
      <c r="A203" s="2">
        <v>194</v>
      </c>
      <c r="B203" s="3">
        <f t="shared" ref="B203:B266" si="24">B202+((B$306-B$9)/297)</f>
        <v>30.639730639730846</v>
      </c>
      <c r="D203" s="1">
        <f t="shared" si="21"/>
        <v>0</v>
      </c>
      <c r="E203" s="1">
        <f t="shared" si="22"/>
        <v>0</v>
      </c>
      <c r="F203" s="1">
        <f t="shared" si="21"/>
        <v>0</v>
      </c>
      <c r="G203" s="1">
        <f t="shared" si="21"/>
        <v>0</v>
      </c>
      <c r="H203" s="1">
        <f t="shared" si="21"/>
        <v>0</v>
      </c>
      <c r="I203" s="1">
        <f t="shared" si="21"/>
        <v>0</v>
      </c>
      <c r="J203" s="1">
        <f t="shared" si="21"/>
        <v>0.96801346801345767</v>
      </c>
      <c r="K203" s="1">
        <f t="shared" si="21"/>
        <v>3.1986531986542312E-2</v>
      </c>
      <c r="L203" s="1">
        <f t="shared" si="21"/>
        <v>0</v>
      </c>
      <c r="M203" s="1">
        <f t="shared" si="23"/>
        <v>0</v>
      </c>
      <c r="N203" s="1">
        <f t="shared" si="23"/>
        <v>0</v>
      </c>
    </row>
    <row r="204" spans="1:14" x14ac:dyDescent="0.3">
      <c r="A204" s="2">
        <v>195</v>
      </c>
      <c r="B204" s="3">
        <f t="shared" si="24"/>
        <v>31.313131313131521</v>
      </c>
      <c r="D204" s="1">
        <f t="shared" si="21"/>
        <v>0</v>
      </c>
      <c r="E204" s="1">
        <f t="shared" si="22"/>
        <v>0</v>
      </c>
      <c r="F204" s="1">
        <f t="shared" si="21"/>
        <v>0</v>
      </c>
      <c r="G204" s="1">
        <f t="shared" si="21"/>
        <v>0</v>
      </c>
      <c r="H204" s="1">
        <f t="shared" si="21"/>
        <v>0</v>
      </c>
      <c r="I204" s="1">
        <f t="shared" si="21"/>
        <v>0</v>
      </c>
      <c r="J204" s="1">
        <f t="shared" si="21"/>
        <v>0.93434343434342393</v>
      </c>
      <c r="K204" s="1">
        <f t="shared" ref="K204" si="25">IF($B204&gt;K$5,0,IF($B204&gt;K$4,(K$5-$B204)/(K$5-K$4),IF($B204&gt;K$3,1,IF($B204&gt;K$2,($B204-K$2)/(K$3-K$2),0))))</f>
        <v>6.5656565656576044E-2</v>
      </c>
      <c r="L204" s="1">
        <f t="shared" si="21"/>
        <v>0</v>
      </c>
      <c r="M204" s="1">
        <f t="shared" si="23"/>
        <v>0</v>
      </c>
      <c r="N204" s="1">
        <f t="shared" si="23"/>
        <v>0</v>
      </c>
    </row>
    <row r="205" spans="1:14" x14ac:dyDescent="0.3">
      <c r="A205" s="2">
        <v>196</v>
      </c>
      <c r="B205" s="3">
        <f t="shared" si="24"/>
        <v>31.986531986532196</v>
      </c>
      <c r="D205" s="1">
        <f t="shared" ref="D205:L236" si="26">IF($B205&gt;D$5,0,IF($B205&gt;D$4,(D$5-$B205)/(D$5-D$4),IF($B205&gt;D$3,1,IF($B205&gt;D$2,($B205-D$2)/(D$3-D$2),0))))</f>
        <v>0</v>
      </c>
      <c r="E205" s="1">
        <f t="shared" si="22"/>
        <v>0</v>
      </c>
      <c r="F205" s="1">
        <f t="shared" si="26"/>
        <v>0</v>
      </c>
      <c r="G205" s="1">
        <f t="shared" si="26"/>
        <v>0</v>
      </c>
      <c r="H205" s="1">
        <f t="shared" si="26"/>
        <v>0</v>
      </c>
      <c r="I205" s="1">
        <f t="shared" si="26"/>
        <v>0</v>
      </c>
      <c r="J205" s="1">
        <f t="shared" si="26"/>
        <v>0.90067340067339019</v>
      </c>
      <c r="K205" s="1">
        <f t="shared" si="26"/>
        <v>9.9326599326609782E-2</v>
      </c>
      <c r="L205" s="1">
        <f t="shared" si="26"/>
        <v>0</v>
      </c>
      <c r="M205" s="1">
        <f t="shared" si="23"/>
        <v>0</v>
      </c>
      <c r="N205" s="1">
        <f t="shared" si="23"/>
        <v>0</v>
      </c>
    </row>
    <row r="206" spans="1:14" x14ac:dyDescent="0.3">
      <c r="A206" s="2">
        <v>197</v>
      </c>
      <c r="B206" s="3">
        <f t="shared" si="24"/>
        <v>32.659932659932871</v>
      </c>
      <c r="D206" s="1">
        <f t="shared" si="26"/>
        <v>0</v>
      </c>
      <c r="E206" s="1">
        <f t="shared" si="22"/>
        <v>0</v>
      </c>
      <c r="F206" s="1">
        <f t="shared" si="26"/>
        <v>0</v>
      </c>
      <c r="G206" s="1">
        <f t="shared" si="26"/>
        <v>0</v>
      </c>
      <c r="H206" s="1">
        <f t="shared" si="26"/>
        <v>0</v>
      </c>
      <c r="I206" s="1">
        <f t="shared" si="26"/>
        <v>0</v>
      </c>
      <c r="J206" s="1">
        <f t="shared" si="26"/>
        <v>0.86700336700335645</v>
      </c>
      <c r="K206" s="1">
        <f t="shared" si="26"/>
        <v>0.13299663299664352</v>
      </c>
      <c r="L206" s="1">
        <f t="shared" si="26"/>
        <v>0</v>
      </c>
      <c r="M206" s="1">
        <f t="shared" si="23"/>
        <v>0</v>
      </c>
      <c r="N206" s="1">
        <f t="shared" si="23"/>
        <v>0</v>
      </c>
    </row>
    <row r="207" spans="1:14" x14ac:dyDescent="0.3">
      <c r="A207" s="2">
        <v>198</v>
      </c>
      <c r="B207" s="3">
        <f t="shared" si="24"/>
        <v>33.333333333333542</v>
      </c>
      <c r="D207" s="1">
        <f t="shared" si="26"/>
        <v>0</v>
      </c>
      <c r="E207" s="1">
        <f t="shared" si="22"/>
        <v>0</v>
      </c>
      <c r="F207" s="1">
        <f t="shared" si="26"/>
        <v>0</v>
      </c>
      <c r="G207" s="1">
        <f t="shared" si="26"/>
        <v>0</v>
      </c>
      <c r="H207" s="1">
        <f t="shared" si="26"/>
        <v>0</v>
      </c>
      <c r="I207" s="1">
        <f t="shared" si="26"/>
        <v>0</v>
      </c>
      <c r="J207" s="1">
        <f t="shared" si="26"/>
        <v>0.83333333333332293</v>
      </c>
      <c r="K207" s="1">
        <f t="shared" si="26"/>
        <v>0.16666666666667709</v>
      </c>
      <c r="L207" s="1">
        <f t="shared" si="26"/>
        <v>0</v>
      </c>
      <c r="M207" s="1">
        <f t="shared" si="23"/>
        <v>0</v>
      </c>
      <c r="N207" s="1">
        <f t="shared" si="23"/>
        <v>0</v>
      </c>
    </row>
    <row r="208" spans="1:14" x14ac:dyDescent="0.3">
      <c r="A208" s="2">
        <v>199</v>
      </c>
      <c r="B208" s="3">
        <f t="shared" si="24"/>
        <v>34.006734006734213</v>
      </c>
      <c r="D208" s="1">
        <f t="shared" si="26"/>
        <v>0</v>
      </c>
      <c r="E208" s="1">
        <f t="shared" si="22"/>
        <v>0</v>
      </c>
      <c r="F208" s="1">
        <f t="shared" si="26"/>
        <v>0</v>
      </c>
      <c r="G208" s="1">
        <f t="shared" si="26"/>
        <v>0</v>
      </c>
      <c r="H208" s="1">
        <f t="shared" si="26"/>
        <v>0</v>
      </c>
      <c r="I208" s="1">
        <f t="shared" si="26"/>
        <v>0</v>
      </c>
      <c r="J208" s="1">
        <f t="shared" si="26"/>
        <v>0.79966329966328931</v>
      </c>
      <c r="K208" s="1">
        <f t="shared" si="26"/>
        <v>0.20033670033671064</v>
      </c>
      <c r="L208" s="1">
        <f t="shared" si="26"/>
        <v>0</v>
      </c>
      <c r="M208" s="1">
        <f t="shared" si="23"/>
        <v>0</v>
      </c>
      <c r="N208" s="1">
        <f t="shared" si="23"/>
        <v>0</v>
      </c>
    </row>
    <row r="209" spans="1:14" x14ac:dyDescent="0.3">
      <c r="A209" s="2">
        <v>200</v>
      </c>
      <c r="B209" s="3">
        <f t="shared" si="24"/>
        <v>34.680134680134884</v>
      </c>
      <c r="D209" s="1">
        <f t="shared" si="26"/>
        <v>0</v>
      </c>
      <c r="E209" s="1">
        <f t="shared" si="22"/>
        <v>0</v>
      </c>
      <c r="F209" s="1">
        <f t="shared" si="26"/>
        <v>0</v>
      </c>
      <c r="G209" s="1">
        <f t="shared" si="26"/>
        <v>0</v>
      </c>
      <c r="H209" s="1">
        <f t="shared" si="26"/>
        <v>0</v>
      </c>
      <c r="I209" s="1">
        <f t="shared" si="26"/>
        <v>0</v>
      </c>
      <c r="J209" s="1">
        <f t="shared" si="26"/>
        <v>0.76599326599325579</v>
      </c>
      <c r="K209" s="1">
        <f t="shared" si="26"/>
        <v>0.23400673400674421</v>
      </c>
      <c r="L209" s="1">
        <f t="shared" si="26"/>
        <v>0</v>
      </c>
      <c r="M209" s="1">
        <f t="shared" si="23"/>
        <v>0</v>
      </c>
      <c r="N209" s="1">
        <f t="shared" si="23"/>
        <v>0</v>
      </c>
    </row>
    <row r="210" spans="1:14" x14ac:dyDescent="0.3">
      <c r="A210" s="2">
        <v>201</v>
      </c>
      <c r="B210" s="3">
        <f t="shared" si="24"/>
        <v>35.353535353535555</v>
      </c>
      <c r="D210" s="1">
        <f t="shared" si="26"/>
        <v>0</v>
      </c>
      <c r="E210" s="1">
        <f t="shared" si="22"/>
        <v>0</v>
      </c>
      <c r="F210" s="1">
        <f t="shared" si="26"/>
        <v>0</v>
      </c>
      <c r="G210" s="1">
        <f t="shared" si="26"/>
        <v>0</v>
      </c>
      <c r="H210" s="1">
        <f t="shared" si="26"/>
        <v>0</v>
      </c>
      <c r="I210" s="1">
        <f t="shared" si="26"/>
        <v>0</v>
      </c>
      <c r="J210" s="1">
        <f t="shared" si="26"/>
        <v>0.73232323232322227</v>
      </c>
      <c r="K210" s="1">
        <f t="shared" si="26"/>
        <v>0.26767676767677778</v>
      </c>
      <c r="L210" s="1">
        <f t="shared" si="26"/>
        <v>0</v>
      </c>
      <c r="M210" s="1">
        <f t="shared" si="23"/>
        <v>0</v>
      </c>
      <c r="N210" s="1">
        <f t="shared" si="23"/>
        <v>0</v>
      </c>
    </row>
    <row r="211" spans="1:14" x14ac:dyDescent="0.3">
      <c r="A211" s="2">
        <v>202</v>
      </c>
      <c r="B211" s="3">
        <f t="shared" si="24"/>
        <v>36.026936026936227</v>
      </c>
      <c r="D211" s="1">
        <f t="shared" si="26"/>
        <v>0</v>
      </c>
      <c r="E211" s="1">
        <f t="shared" si="22"/>
        <v>0</v>
      </c>
      <c r="F211" s="1">
        <f t="shared" si="26"/>
        <v>0</v>
      </c>
      <c r="G211" s="1">
        <f t="shared" si="26"/>
        <v>0</v>
      </c>
      <c r="H211" s="1">
        <f t="shared" si="26"/>
        <v>0</v>
      </c>
      <c r="I211" s="1">
        <f t="shared" si="26"/>
        <v>0</v>
      </c>
      <c r="J211" s="1">
        <f t="shared" si="26"/>
        <v>0.69865319865318865</v>
      </c>
      <c r="K211" s="1">
        <f t="shared" si="26"/>
        <v>0.30134680134681135</v>
      </c>
      <c r="L211" s="1">
        <f t="shared" si="26"/>
        <v>0</v>
      </c>
      <c r="M211" s="1">
        <f t="shared" si="23"/>
        <v>0</v>
      </c>
      <c r="N211" s="1">
        <f t="shared" si="23"/>
        <v>0</v>
      </c>
    </row>
    <row r="212" spans="1:14" x14ac:dyDescent="0.3">
      <c r="A212" s="2">
        <v>203</v>
      </c>
      <c r="B212" s="3">
        <f t="shared" si="24"/>
        <v>36.700336700336898</v>
      </c>
      <c r="D212" s="1">
        <f t="shared" si="26"/>
        <v>0</v>
      </c>
      <c r="E212" s="1">
        <f t="shared" si="22"/>
        <v>0</v>
      </c>
      <c r="F212" s="1">
        <f t="shared" si="26"/>
        <v>0</v>
      </c>
      <c r="G212" s="1">
        <f t="shared" si="26"/>
        <v>0</v>
      </c>
      <c r="H212" s="1">
        <f t="shared" si="26"/>
        <v>0</v>
      </c>
      <c r="I212" s="1">
        <f t="shared" si="26"/>
        <v>0</v>
      </c>
      <c r="J212" s="1">
        <f t="shared" si="26"/>
        <v>0.66498316498315513</v>
      </c>
      <c r="K212" s="1">
        <f t="shared" si="26"/>
        <v>0.33501683501684487</v>
      </c>
      <c r="L212" s="1">
        <f t="shared" si="26"/>
        <v>0</v>
      </c>
      <c r="M212" s="1">
        <f t="shared" si="23"/>
        <v>0</v>
      </c>
      <c r="N212" s="1">
        <f t="shared" si="23"/>
        <v>0</v>
      </c>
    </row>
    <row r="213" spans="1:14" x14ac:dyDescent="0.3">
      <c r="A213" s="2">
        <v>204</v>
      </c>
      <c r="B213" s="3">
        <f t="shared" si="24"/>
        <v>37.373737373737569</v>
      </c>
      <c r="D213" s="1">
        <f t="shared" si="26"/>
        <v>0</v>
      </c>
      <c r="E213" s="1">
        <f t="shared" si="22"/>
        <v>0</v>
      </c>
      <c r="F213" s="1">
        <f t="shared" si="26"/>
        <v>0</v>
      </c>
      <c r="G213" s="1">
        <f t="shared" si="26"/>
        <v>0</v>
      </c>
      <c r="H213" s="1">
        <f t="shared" si="26"/>
        <v>0</v>
      </c>
      <c r="I213" s="1">
        <f t="shared" si="26"/>
        <v>0</v>
      </c>
      <c r="J213" s="1">
        <f t="shared" si="26"/>
        <v>0.6313131313131215</v>
      </c>
      <c r="K213" s="1">
        <f t="shared" si="26"/>
        <v>0.36868686868687844</v>
      </c>
      <c r="L213" s="1">
        <f t="shared" si="26"/>
        <v>0</v>
      </c>
      <c r="M213" s="1">
        <f t="shared" si="23"/>
        <v>0</v>
      </c>
      <c r="N213" s="1">
        <f t="shared" si="23"/>
        <v>0</v>
      </c>
    </row>
    <row r="214" spans="1:14" x14ac:dyDescent="0.3">
      <c r="A214" s="2">
        <v>205</v>
      </c>
      <c r="B214" s="3">
        <f t="shared" si="24"/>
        <v>38.04713804713824</v>
      </c>
      <c r="D214" s="1">
        <f t="shared" si="26"/>
        <v>0</v>
      </c>
      <c r="E214" s="1">
        <f t="shared" si="22"/>
        <v>0</v>
      </c>
      <c r="F214" s="1">
        <f t="shared" si="26"/>
        <v>0</v>
      </c>
      <c r="G214" s="1">
        <f t="shared" si="26"/>
        <v>0</v>
      </c>
      <c r="H214" s="1">
        <f t="shared" si="26"/>
        <v>0</v>
      </c>
      <c r="I214" s="1">
        <f t="shared" si="26"/>
        <v>0</v>
      </c>
      <c r="J214" s="1">
        <f t="shared" si="26"/>
        <v>0.59764309764308798</v>
      </c>
      <c r="K214" s="1">
        <f t="shared" si="26"/>
        <v>0.40235690235691202</v>
      </c>
      <c r="L214" s="1">
        <f t="shared" si="26"/>
        <v>0</v>
      </c>
      <c r="M214" s="1">
        <f t="shared" si="23"/>
        <v>0</v>
      </c>
      <c r="N214" s="1">
        <f t="shared" si="23"/>
        <v>0</v>
      </c>
    </row>
    <row r="215" spans="1:14" x14ac:dyDescent="0.3">
      <c r="A215" s="2">
        <v>206</v>
      </c>
      <c r="B215" s="3">
        <f t="shared" si="24"/>
        <v>38.720538720538912</v>
      </c>
      <c r="D215" s="1">
        <f t="shared" si="26"/>
        <v>0</v>
      </c>
      <c r="E215" s="1">
        <f t="shared" si="22"/>
        <v>0</v>
      </c>
      <c r="F215" s="1">
        <f t="shared" si="26"/>
        <v>0</v>
      </c>
      <c r="G215" s="1">
        <f t="shared" si="26"/>
        <v>0</v>
      </c>
      <c r="H215" s="1">
        <f t="shared" si="26"/>
        <v>0</v>
      </c>
      <c r="I215" s="1">
        <f t="shared" si="26"/>
        <v>0</v>
      </c>
      <c r="J215" s="1">
        <f t="shared" si="26"/>
        <v>0.56397306397305447</v>
      </c>
      <c r="K215" s="1">
        <f t="shared" si="26"/>
        <v>0.43602693602694559</v>
      </c>
      <c r="L215" s="1">
        <f t="shared" si="26"/>
        <v>0</v>
      </c>
      <c r="M215" s="1">
        <f t="shared" si="23"/>
        <v>0</v>
      </c>
      <c r="N215" s="1">
        <f t="shared" si="23"/>
        <v>0</v>
      </c>
    </row>
    <row r="216" spans="1:14" x14ac:dyDescent="0.3">
      <c r="A216" s="2">
        <v>207</v>
      </c>
      <c r="B216" s="3">
        <f t="shared" si="24"/>
        <v>39.393939393939583</v>
      </c>
      <c r="D216" s="1">
        <f t="shared" si="26"/>
        <v>0</v>
      </c>
      <c r="E216" s="1">
        <f t="shared" si="22"/>
        <v>0</v>
      </c>
      <c r="F216" s="1">
        <f t="shared" si="26"/>
        <v>0</v>
      </c>
      <c r="G216" s="1">
        <f t="shared" si="26"/>
        <v>0</v>
      </c>
      <c r="H216" s="1">
        <f t="shared" si="26"/>
        <v>0</v>
      </c>
      <c r="I216" s="1">
        <f t="shared" si="26"/>
        <v>0</v>
      </c>
      <c r="J216" s="1">
        <f t="shared" si="26"/>
        <v>0.53030303030302084</v>
      </c>
      <c r="K216" s="1">
        <f t="shared" si="26"/>
        <v>0.46969696969697916</v>
      </c>
      <c r="L216" s="1">
        <f t="shared" si="26"/>
        <v>0</v>
      </c>
      <c r="M216" s="1">
        <f t="shared" si="23"/>
        <v>0</v>
      </c>
      <c r="N216" s="1">
        <f t="shared" si="23"/>
        <v>0</v>
      </c>
    </row>
    <row r="217" spans="1:14" x14ac:dyDescent="0.3">
      <c r="A217" s="2">
        <v>208</v>
      </c>
      <c r="B217" s="3">
        <f t="shared" si="24"/>
        <v>40.067340067340254</v>
      </c>
      <c r="D217" s="1">
        <f t="shared" si="26"/>
        <v>0</v>
      </c>
      <c r="E217" s="1">
        <f t="shared" si="22"/>
        <v>0</v>
      </c>
      <c r="F217" s="1">
        <f t="shared" si="26"/>
        <v>0</v>
      </c>
      <c r="G217" s="1">
        <f t="shared" si="26"/>
        <v>0</v>
      </c>
      <c r="H217" s="1">
        <f t="shared" si="26"/>
        <v>0</v>
      </c>
      <c r="I217" s="1">
        <f t="shared" si="26"/>
        <v>0</v>
      </c>
      <c r="J217" s="1">
        <f t="shared" si="26"/>
        <v>0.49663299663298732</v>
      </c>
      <c r="K217" s="1">
        <f t="shared" si="26"/>
        <v>0.50336700336701268</v>
      </c>
      <c r="L217" s="1">
        <f t="shared" si="26"/>
        <v>0</v>
      </c>
      <c r="M217" s="1">
        <f t="shared" si="23"/>
        <v>0</v>
      </c>
      <c r="N217" s="1">
        <f t="shared" si="23"/>
        <v>0</v>
      </c>
    </row>
    <row r="218" spans="1:14" x14ac:dyDescent="0.3">
      <c r="A218" s="2">
        <v>209</v>
      </c>
      <c r="B218" s="3">
        <f t="shared" si="24"/>
        <v>40.740740740740925</v>
      </c>
      <c r="D218" s="1">
        <f t="shared" si="26"/>
        <v>0</v>
      </c>
      <c r="E218" s="1">
        <f t="shared" si="22"/>
        <v>0</v>
      </c>
      <c r="F218" s="1">
        <f t="shared" si="26"/>
        <v>0</v>
      </c>
      <c r="G218" s="1">
        <f t="shared" si="26"/>
        <v>0</v>
      </c>
      <c r="H218" s="1">
        <f t="shared" si="26"/>
        <v>0</v>
      </c>
      <c r="I218" s="1">
        <f t="shared" si="26"/>
        <v>0</v>
      </c>
      <c r="J218" s="1">
        <f t="shared" si="26"/>
        <v>0.46296296296295375</v>
      </c>
      <c r="K218" s="1">
        <f t="shared" si="26"/>
        <v>0.53703703703704631</v>
      </c>
      <c r="L218" s="1">
        <f t="shared" si="26"/>
        <v>0</v>
      </c>
      <c r="M218" s="1">
        <f t="shared" si="23"/>
        <v>0</v>
      </c>
      <c r="N218" s="1">
        <f t="shared" si="23"/>
        <v>0</v>
      </c>
    </row>
    <row r="219" spans="1:14" x14ac:dyDescent="0.3">
      <c r="A219" s="2">
        <v>210</v>
      </c>
      <c r="B219" s="3">
        <f t="shared" si="24"/>
        <v>41.414141414141596</v>
      </c>
      <c r="D219" s="1">
        <f t="shared" si="26"/>
        <v>0</v>
      </c>
      <c r="E219" s="1">
        <f t="shared" si="22"/>
        <v>0</v>
      </c>
      <c r="F219" s="1">
        <f t="shared" si="26"/>
        <v>0</v>
      </c>
      <c r="G219" s="1">
        <f t="shared" si="26"/>
        <v>0</v>
      </c>
      <c r="H219" s="1">
        <f t="shared" si="26"/>
        <v>0</v>
      </c>
      <c r="I219" s="1">
        <f t="shared" si="26"/>
        <v>0</v>
      </c>
      <c r="J219" s="1">
        <f t="shared" si="26"/>
        <v>0.42929292929292018</v>
      </c>
      <c r="K219" s="1">
        <f t="shared" si="26"/>
        <v>0.57070707070707982</v>
      </c>
      <c r="L219" s="1">
        <f t="shared" si="26"/>
        <v>0</v>
      </c>
      <c r="M219" s="1">
        <f t="shared" si="23"/>
        <v>0</v>
      </c>
      <c r="N219" s="1">
        <f t="shared" si="23"/>
        <v>0</v>
      </c>
    </row>
    <row r="220" spans="1:14" x14ac:dyDescent="0.3">
      <c r="A220" s="2">
        <v>211</v>
      </c>
      <c r="B220" s="3">
        <f t="shared" si="24"/>
        <v>42.087542087542268</v>
      </c>
      <c r="D220" s="1">
        <f t="shared" si="26"/>
        <v>0</v>
      </c>
      <c r="E220" s="1">
        <f t="shared" si="22"/>
        <v>0</v>
      </c>
      <c r="F220" s="1">
        <f t="shared" si="26"/>
        <v>0</v>
      </c>
      <c r="G220" s="1">
        <f t="shared" si="26"/>
        <v>0</v>
      </c>
      <c r="H220" s="1">
        <f t="shared" si="26"/>
        <v>0</v>
      </c>
      <c r="I220" s="1">
        <f t="shared" si="26"/>
        <v>0</v>
      </c>
      <c r="J220" s="1">
        <f t="shared" si="26"/>
        <v>0.39562289562288661</v>
      </c>
      <c r="K220" s="1">
        <f t="shared" si="26"/>
        <v>0.60437710437711334</v>
      </c>
      <c r="L220" s="1">
        <f t="shared" si="26"/>
        <v>0</v>
      </c>
      <c r="M220" s="1">
        <f t="shared" si="23"/>
        <v>0</v>
      </c>
      <c r="N220" s="1">
        <f t="shared" si="23"/>
        <v>0</v>
      </c>
    </row>
    <row r="221" spans="1:14" x14ac:dyDescent="0.3">
      <c r="A221" s="2">
        <v>212</v>
      </c>
      <c r="B221" s="3">
        <f t="shared" si="24"/>
        <v>42.760942760942939</v>
      </c>
      <c r="D221" s="1">
        <f t="shared" si="26"/>
        <v>0</v>
      </c>
      <c r="E221" s="1">
        <f t="shared" si="22"/>
        <v>0</v>
      </c>
      <c r="F221" s="1">
        <f t="shared" si="26"/>
        <v>0</v>
      </c>
      <c r="G221" s="1">
        <f t="shared" si="26"/>
        <v>0</v>
      </c>
      <c r="H221" s="1">
        <f t="shared" si="26"/>
        <v>0</v>
      </c>
      <c r="I221" s="1">
        <f t="shared" si="26"/>
        <v>0</v>
      </c>
      <c r="J221" s="1">
        <f t="shared" si="26"/>
        <v>0.36195286195285303</v>
      </c>
      <c r="K221" s="1">
        <f t="shared" si="26"/>
        <v>0.63804713804714697</v>
      </c>
      <c r="L221" s="1">
        <f t="shared" si="26"/>
        <v>0</v>
      </c>
      <c r="M221" s="1">
        <f t="shared" si="23"/>
        <v>0</v>
      </c>
      <c r="N221" s="1">
        <f t="shared" si="23"/>
        <v>0</v>
      </c>
    </row>
    <row r="222" spans="1:14" x14ac:dyDescent="0.3">
      <c r="A222" s="2">
        <v>213</v>
      </c>
      <c r="B222" s="3">
        <f t="shared" si="24"/>
        <v>43.43434343434361</v>
      </c>
      <c r="D222" s="1">
        <f t="shared" si="26"/>
        <v>0</v>
      </c>
      <c r="E222" s="1">
        <f t="shared" si="22"/>
        <v>0</v>
      </c>
      <c r="F222" s="1">
        <f t="shared" si="26"/>
        <v>0</v>
      </c>
      <c r="G222" s="1">
        <f t="shared" si="26"/>
        <v>0</v>
      </c>
      <c r="H222" s="1">
        <f t="shared" si="26"/>
        <v>0</v>
      </c>
      <c r="I222" s="1">
        <f t="shared" si="26"/>
        <v>0</v>
      </c>
      <c r="J222" s="1">
        <f t="shared" si="26"/>
        <v>0.32828282828281952</v>
      </c>
      <c r="K222" s="1">
        <f t="shared" si="26"/>
        <v>0.67171717171718048</v>
      </c>
      <c r="L222" s="1">
        <f t="shared" si="26"/>
        <v>0</v>
      </c>
      <c r="M222" s="1">
        <f t="shared" si="23"/>
        <v>0</v>
      </c>
      <c r="N222" s="1">
        <f t="shared" si="23"/>
        <v>0</v>
      </c>
    </row>
    <row r="223" spans="1:14" x14ac:dyDescent="0.3">
      <c r="A223" s="2">
        <v>214</v>
      </c>
      <c r="B223" s="3">
        <f t="shared" si="24"/>
        <v>44.107744107744281</v>
      </c>
      <c r="D223" s="1">
        <f t="shared" si="26"/>
        <v>0</v>
      </c>
      <c r="E223" s="1">
        <f t="shared" si="22"/>
        <v>0</v>
      </c>
      <c r="F223" s="1">
        <f t="shared" si="26"/>
        <v>0</v>
      </c>
      <c r="G223" s="1">
        <f t="shared" si="26"/>
        <v>0</v>
      </c>
      <c r="H223" s="1">
        <f t="shared" si="26"/>
        <v>0</v>
      </c>
      <c r="I223" s="1">
        <f t="shared" si="26"/>
        <v>0</v>
      </c>
      <c r="J223" s="1">
        <f t="shared" si="26"/>
        <v>0.29461279461278594</v>
      </c>
      <c r="K223" s="1">
        <f t="shared" si="26"/>
        <v>0.70538720538721411</v>
      </c>
      <c r="L223" s="1">
        <f t="shared" si="26"/>
        <v>0</v>
      </c>
      <c r="M223" s="1">
        <f t="shared" si="23"/>
        <v>0</v>
      </c>
      <c r="N223" s="1">
        <f t="shared" si="23"/>
        <v>0</v>
      </c>
    </row>
    <row r="224" spans="1:14" x14ac:dyDescent="0.3">
      <c r="A224" s="2">
        <v>215</v>
      </c>
      <c r="B224" s="3">
        <f t="shared" si="24"/>
        <v>44.781144781144953</v>
      </c>
      <c r="D224" s="1">
        <f t="shared" si="26"/>
        <v>0</v>
      </c>
      <c r="E224" s="1">
        <f t="shared" si="22"/>
        <v>0</v>
      </c>
      <c r="F224" s="1">
        <f t="shared" si="26"/>
        <v>0</v>
      </c>
      <c r="G224" s="1">
        <f t="shared" si="26"/>
        <v>0</v>
      </c>
      <c r="H224" s="1">
        <f t="shared" si="26"/>
        <v>0</v>
      </c>
      <c r="I224" s="1">
        <f t="shared" si="26"/>
        <v>0</v>
      </c>
      <c r="J224" s="1">
        <f t="shared" si="26"/>
        <v>0.26094276094275237</v>
      </c>
      <c r="K224" s="1">
        <f t="shared" si="26"/>
        <v>0.73905723905724763</v>
      </c>
      <c r="L224" s="1">
        <f t="shared" si="26"/>
        <v>0</v>
      </c>
      <c r="M224" s="1">
        <f t="shared" si="23"/>
        <v>0</v>
      </c>
      <c r="N224" s="1">
        <f t="shared" si="23"/>
        <v>0</v>
      </c>
    </row>
    <row r="225" spans="1:14" x14ac:dyDescent="0.3">
      <c r="A225" s="2">
        <v>216</v>
      </c>
      <c r="B225" s="3">
        <f t="shared" si="24"/>
        <v>45.454545454545624</v>
      </c>
      <c r="D225" s="1">
        <f t="shared" si="26"/>
        <v>0</v>
      </c>
      <c r="E225" s="1">
        <f t="shared" si="22"/>
        <v>0</v>
      </c>
      <c r="F225" s="1">
        <f t="shared" si="26"/>
        <v>0</v>
      </c>
      <c r="G225" s="1">
        <f t="shared" si="26"/>
        <v>0</v>
      </c>
      <c r="H225" s="1">
        <f t="shared" si="26"/>
        <v>0</v>
      </c>
      <c r="I225" s="1">
        <f t="shared" si="26"/>
        <v>0</v>
      </c>
      <c r="J225" s="1">
        <f t="shared" si="26"/>
        <v>0.2272727272727188</v>
      </c>
      <c r="K225" s="1">
        <f t="shared" si="26"/>
        <v>0.77272727272728114</v>
      </c>
      <c r="L225" s="1">
        <f t="shared" si="26"/>
        <v>0</v>
      </c>
      <c r="M225" s="1">
        <f t="shared" si="23"/>
        <v>0</v>
      </c>
      <c r="N225" s="1">
        <f t="shared" si="23"/>
        <v>0</v>
      </c>
    </row>
    <row r="226" spans="1:14" x14ac:dyDescent="0.3">
      <c r="A226" s="2">
        <v>217</v>
      </c>
      <c r="B226" s="3">
        <f t="shared" si="24"/>
        <v>46.127946127946295</v>
      </c>
      <c r="D226" s="1">
        <f t="shared" si="26"/>
        <v>0</v>
      </c>
      <c r="E226" s="1">
        <f t="shared" si="22"/>
        <v>0</v>
      </c>
      <c r="F226" s="1">
        <f t="shared" si="26"/>
        <v>0</v>
      </c>
      <c r="G226" s="1">
        <f t="shared" si="26"/>
        <v>0</v>
      </c>
      <c r="H226" s="1">
        <f t="shared" si="26"/>
        <v>0</v>
      </c>
      <c r="I226" s="1">
        <f t="shared" si="26"/>
        <v>0</v>
      </c>
      <c r="J226" s="1">
        <f t="shared" si="26"/>
        <v>0.19360269360268526</v>
      </c>
      <c r="K226" s="1">
        <f t="shared" si="26"/>
        <v>0.80639730639731477</v>
      </c>
      <c r="L226" s="1">
        <f t="shared" si="26"/>
        <v>0</v>
      </c>
      <c r="M226" s="1">
        <f t="shared" si="23"/>
        <v>0</v>
      </c>
      <c r="N226" s="1">
        <f t="shared" si="23"/>
        <v>0</v>
      </c>
    </row>
    <row r="227" spans="1:14" x14ac:dyDescent="0.3">
      <c r="A227" s="2">
        <v>218</v>
      </c>
      <c r="B227" s="3">
        <f t="shared" si="24"/>
        <v>46.801346801346966</v>
      </c>
      <c r="D227" s="1">
        <f t="shared" si="26"/>
        <v>0</v>
      </c>
      <c r="E227" s="1">
        <f t="shared" si="22"/>
        <v>0</v>
      </c>
      <c r="F227" s="1">
        <f t="shared" si="26"/>
        <v>0</v>
      </c>
      <c r="G227" s="1">
        <f t="shared" si="26"/>
        <v>0</v>
      </c>
      <c r="H227" s="1">
        <f t="shared" si="26"/>
        <v>0</v>
      </c>
      <c r="I227" s="1">
        <f t="shared" si="26"/>
        <v>0</v>
      </c>
      <c r="J227" s="1">
        <f t="shared" si="26"/>
        <v>0.15993265993265168</v>
      </c>
      <c r="K227" s="1">
        <f t="shared" si="26"/>
        <v>0.84006734006734829</v>
      </c>
      <c r="L227" s="1">
        <f t="shared" si="26"/>
        <v>0</v>
      </c>
      <c r="M227" s="1">
        <f t="shared" si="23"/>
        <v>0</v>
      </c>
      <c r="N227" s="1">
        <f t="shared" si="23"/>
        <v>0</v>
      </c>
    </row>
    <row r="228" spans="1:14" x14ac:dyDescent="0.3">
      <c r="A228" s="2">
        <v>219</v>
      </c>
      <c r="B228" s="3">
        <f t="shared" si="24"/>
        <v>47.474747474747637</v>
      </c>
      <c r="D228" s="1">
        <f t="shared" si="26"/>
        <v>0</v>
      </c>
      <c r="E228" s="1">
        <f t="shared" si="22"/>
        <v>0</v>
      </c>
      <c r="F228" s="1">
        <f t="shared" si="26"/>
        <v>0</v>
      </c>
      <c r="G228" s="1">
        <f t="shared" si="26"/>
        <v>0</v>
      </c>
      <c r="H228" s="1">
        <f t="shared" si="26"/>
        <v>0</v>
      </c>
      <c r="I228" s="1">
        <f t="shared" si="26"/>
        <v>0</v>
      </c>
      <c r="J228" s="1">
        <f t="shared" si="26"/>
        <v>0.12626262626261814</v>
      </c>
      <c r="K228" s="1">
        <f t="shared" si="26"/>
        <v>0.87373737373738192</v>
      </c>
      <c r="L228" s="1">
        <f t="shared" si="26"/>
        <v>0</v>
      </c>
      <c r="M228" s="1">
        <f t="shared" si="23"/>
        <v>0</v>
      </c>
      <c r="N228" s="1">
        <f t="shared" si="23"/>
        <v>0</v>
      </c>
    </row>
    <row r="229" spans="1:14" x14ac:dyDescent="0.3">
      <c r="A229" s="2">
        <v>220</v>
      </c>
      <c r="B229" s="3">
        <f t="shared" si="24"/>
        <v>48.148148148148309</v>
      </c>
      <c r="D229" s="1">
        <f t="shared" si="26"/>
        <v>0</v>
      </c>
      <c r="E229" s="1">
        <f t="shared" si="22"/>
        <v>0</v>
      </c>
      <c r="F229" s="1">
        <f t="shared" si="26"/>
        <v>0</v>
      </c>
      <c r="G229" s="1">
        <f t="shared" si="26"/>
        <v>0</v>
      </c>
      <c r="H229" s="1">
        <f t="shared" si="26"/>
        <v>0</v>
      </c>
      <c r="I229" s="1">
        <f t="shared" si="26"/>
        <v>0</v>
      </c>
      <c r="J229" s="1">
        <f t="shared" si="26"/>
        <v>9.2592592592584566E-2</v>
      </c>
      <c r="K229" s="1">
        <f t="shared" si="26"/>
        <v>0.90740740740741543</v>
      </c>
      <c r="L229" s="1">
        <f t="shared" si="26"/>
        <v>0</v>
      </c>
      <c r="M229" s="1">
        <f t="shared" si="23"/>
        <v>0</v>
      </c>
      <c r="N229" s="1">
        <f t="shared" si="23"/>
        <v>0</v>
      </c>
    </row>
    <row r="230" spans="1:14" x14ac:dyDescent="0.3">
      <c r="A230" s="2">
        <v>221</v>
      </c>
      <c r="B230" s="3">
        <f t="shared" si="24"/>
        <v>48.82154882154898</v>
      </c>
      <c r="D230" s="1">
        <f t="shared" si="26"/>
        <v>0</v>
      </c>
      <c r="E230" s="1">
        <f t="shared" si="22"/>
        <v>0</v>
      </c>
      <c r="F230" s="1">
        <f t="shared" si="26"/>
        <v>0</v>
      </c>
      <c r="G230" s="1">
        <f t="shared" si="26"/>
        <v>0</v>
      </c>
      <c r="H230" s="1">
        <f t="shared" si="26"/>
        <v>0</v>
      </c>
      <c r="I230" s="1">
        <f t="shared" si="26"/>
        <v>0</v>
      </c>
      <c r="J230" s="1">
        <f t="shared" si="26"/>
        <v>5.8922558922551008E-2</v>
      </c>
      <c r="K230" s="1">
        <f t="shared" si="26"/>
        <v>0.94107744107744895</v>
      </c>
      <c r="L230" s="1">
        <f t="shared" si="26"/>
        <v>0</v>
      </c>
      <c r="M230" s="1">
        <f t="shared" si="23"/>
        <v>0</v>
      </c>
      <c r="N230" s="1">
        <f t="shared" si="23"/>
        <v>0</v>
      </c>
    </row>
    <row r="231" spans="1:14" x14ac:dyDescent="0.3">
      <c r="A231" s="2">
        <v>222</v>
      </c>
      <c r="B231" s="3">
        <f t="shared" si="24"/>
        <v>49.494949494949651</v>
      </c>
      <c r="D231" s="1">
        <f t="shared" si="26"/>
        <v>0</v>
      </c>
      <c r="E231" s="1">
        <f t="shared" si="22"/>
        <v>0</v>
      </c>
      <c r="F231" s="1">
        <f t="shared" si="26"/>
        <v>0</v>
      </c>
      <c r="G231" s="1">
        <f t="shared" si="26"/>
        <v>0</v>
      </c>
      <c r="H231" s="1">
        <f t="shared" si="26"/>
        <v>0</v>
      </c>
      <c r="I231" s="1">
        <f t="shared" si="26"/>
        <v>0</v>
      </c>
      <c r="J231" s="1">
        <f t="shared" si="26"/>
        <v>2.5252525252517442E-2</v>
      </c>
      <c r="K231" s="1">
        <f t="shared" si="26"/>
        <v>0.97474747474748258</v>
      </c>
      <c r="L231" s="1">
        <f t="shared" si="26"/>
        <v>0</v>
      </c>
      <c r="M231" s="1">
        <f t="shared" si="23"/>
        <v>0</v>
      </c>
      <c r="N231" s="1">
        <f t="shared" si="23"/>
        <v>0</v>
      </c>
    </row>
    <row r="232" spans="1:14" x14ac:dyDescent="0.3">
      <c r="A232" s="2">
        <v>223</v>
      </c>
      <c r="B232" s="3">
        <f t="shared" si="24"/>
        <v>50.168350168350322</v>
      </c>
      <c r="D232" s="1">
        <f t="shared" si="26"/>
        <v>0</v>
      </c>
      <c r="E232" s="1">
        <f t="shared" si="22"/>
        <v>0</v>
      </c>
      <c r="F232" s="1">
        <f t="shared" si="26"/>
        <v>0</v>
      </c>
      <c r="G232" s="1">
        <f t="shared" si="26"/>
        <v>0</v>
      </c>
      <c r="H232" s="1">
        <f t="shared" si="26"/>
        <v>0</v>
      </c>
      <c r="I232" s="1">
        <f t="shared" si="26"/>
        <v>0</v>
      </c>
      <c r="J232" s="1">
        <f t="shared" si="26"/>
        <v>0</v>
      </c>
      <c r="K232" s="1">
        <f t="shared" si="26"/>
        <v>0.98316498316496781</v>
      </c>
      <c r="L232" s="1">
        <f t="shared" si="26"/>
        <v>1.6835016835032236E-2</v>
      </c>
      <c r="M232" s="1">
        <f t="shared" si="23"/>
        <v>0</v>
      </c>
      <c r="N232" s="1">
        <f t="shared" si="23"/>
        <v>0</v>
      </c>
    </row>
    <row r="233" spans="1:14" x14ac:dyDescent="0.3">
      <c r="A233" s="2">
        <v>224</v>
      </c>
      <c r="B233" s="3">
        <f t="shared" si="24"/>
        <v>50.841750841750994</v>
      </c>
      <c r="D233" s="1">
        <f t="shared" si="26"/>
        <v>0</v>
      </c>
      <c r="E233" s="1">
        <f t="shared" si="22"/>
        <v>0</v>
      </c>
      <c r="F233" s="1">
        <f t="shared" si="26"/>
        <v>0</v>
      </c>
      <c r="G233" s="1">
        <f t="shared" si="26"/>
        <v>0</v>
      </c>
      <c r="H233" s="1">
        <f t="shared" si="26"/>
        <v>0</v>
      </c>
      <c r="I233" s="1">
        <f t="shared" si="26"/>
        <v>0</v>
      </c>
      <c r="J233" s="1">
        <f t="shared" si="26"/>
        <v>0</v>
      </c>
      <c r="K233" s="1">
        <f t="shared" si="26"/>
        <v>0.91582491582490066</v>
      </c>
      <c r="L233" s="1">
        <f t="shared" si="26"/>
        <v>8.4175084175099363E-2</v>
      </c>
      <c r="M233" s="1">
        <f t="shared" si="23"/>
        <v>0</v>
      </c>
      <c r="N233" s="1">
        <f t="shared" si="23"/>
        <v>0</v>
      </c>
    </row>
    <row r="234" spans="1:14" x14ac:dyDescent="0.3">
      <c r="A234" s="2">
        <v>225</v>
      </c>
      <c r="B234" s="3">
        <f t="shared" si="24"/>
        <v>51.515151515151665</v>
      </c>
      <c r="D234" s="1">
        <f t="shared" si="26"/>
        <v>0</v>
      </c>
      <c r="E234" s="1">
        <f t="shared" si="22"/>
        <v>0</v>
      </c>
      <c r="F234" s="1">
        <f t="shared" si="26"/>
        <v>0</v>
      </c>
      <c r="G234" s="1">
        <f t="shared" si="26"/>
        <v>0</v>
      </c>
      <c r="H234" s="1">
        <f t="shared" si="26"/>
        <v>0</v>
      </c>
      <c r="I234" s="1">
        <f t="shared" si="26"/>
        <v>0</v>
      </c>
      <c r="J234" s="1">
        <f t="shared" si="26"/>
        <v>0</v>
      </c>
      <c r="K234" s="1">
        <f t="shared" si="26"/>
        <v>0.84848484848483352</v>
      </c>
      <c r="L234" s="1">
        <f t="shared" si="26"/>
        <v>0.15151515151516648</v>
      </c>
      <c r="M234" s="1">
        <f t="shared" si="23"/>
        <v>0</v>
      </c>
      <c r="N234" s="1">
        <f t="shared" si="23"/>
        <v>0</v>
      </c>
    </row>
    <row r="235" spans="1:14" x14ac:dyDescent="0.3">
      <c r="A235" s="2">
        <v>226</v>
      </c>
      <c r="B235" s="3">
        <f t="shared" si="24"/>
        <v>52.188552188552336</v>
      </c>
      <c r="D235" s="1">
        <f t="shared" si="26"/>
        <v>0</v>
      </c>
      <c r="E235" s="1">
        <f t="shared" si="22"/>
        <v>0</v>
      </c>
      <c r="F235" s="1">
        <f t="shared" si="26"/>
        <v>0</v>
      </c>
      <c r="G235" s="1">
        <f t="shared" si="26"/>
        <v>0</v>
      </c>
      <c r="H235" s="1">
        <f t="shared" si="26"/>
        <v>0</v>
      </c>
      <c r="I235" s="1">
        <f t="shared" si="26"/>
        <v>0</v>
      </c>
      <c r="J235" s="1">
        <f t="shared" si="26"/>
        <v>0</v>
      </c>
      <c r="K235" s="1">
        <f t="shared" si="26"/>
        <v>0.78114478114476638</v>
      </c>
      <c r="L235" s="1">
        <f t="shared" si="26"/>
        <v>0.2188552188552336</v>
      </c>
      <c r="M235" s="1">
        <f t="shared" si="23"/>
        <v>0</v>
      </c>
      <c r="N235" s="1">
        <f t="shared" si="23"/>
        <v>0</v>
      </c>
    </row>
    <row r="236" spans="1:14" x14ac:dyDescent="0.3">
      <c r="A236" s="2">
        <v>227</v>
      </c>
      <c r="B236" s="3">
        <f t="shared" si="24"/>
        <v>52.861952861953007</v>
      </c>
      <c r="D236" s="1">
        <f t="shared" si="26"/>
        <v>0</v>
      </c>
      <c r="E236" s="1">
        <f t="shared" si="22"/>
        <v>0</v>
      </c>
      <c r="F236" s="1">
        <f t="shared" si="26"/>
        <v>0</v>
      </c>
      <c r="G236" s="1">
        <f t="shared" si="26"/>
        <v>0</v>
      </c>
      <c r="H236" s="1">
        <f t="shared" si="26"/>
        <v>0</v>
      </c>
      <c r="I236" s="1">
        <f t="shared" si="26"/>
        <v>0</v>
      </c>
      <c r="J236" s="1">
        <f t="shared" si="26"/>
        <v>0</v>
      </c>
      <c r="K236" s="1">
        <f t="shared" ref="K236" si="27">IF($B236&gt;K$5,0,IF($B236&gt;K$4,(K$5-$B236)/(K$5-K$4),IF($B236&gt;K$3,1,IF($B236&gt;K$2,($B236-K$2)/(K$3-K$2),0))))</f>
        <v>0.71380471380469923</v>
      </c>
      <c r="L236" s="1">
        <f t="shared" si="26"/>
        <v>0.28619528619530071</v>
      </c>
      <c r="M236" s="1">
        <f t="shared" si="23"/>
        <v>0</v>
      </c>
      <c r="N236" s="1">
        <f t="shared" si="23"/>
        <v>0</v>
      </c>
    </row>
    <row r="237" spans="1:14" x14ac:dyDescent="0.3">
      <c r="A237" s="2">
        <v>228</v>
      </c>
      <c r="B237" s="3">
        <f t="shared" si="24"/>
        <v>53.535353535353678</v>
      </c>
      <c r="D237" s="1">
        <f t="shared" ref="D237:L268" si="28">IF($B237&gt;D$5,0,IF($B237&gt;D$4,(D$5-$B237)/(D$5-D$4),IF($B237&gt;D$3,1,IF($B237&gt;D$2,($B237-D$2)/(D$3-D$2),0))))</f>
        <v>0</v>
      </c>
      <c r="E237" s="1">
        <f t="shared" ref="E237:E300" si="29">IF($B237&gt;E$5,0,IF($B237&gt;E$4,(E$5-$B237)/(E$5-E$4),IF($B237&gt;E$3,1,IF($B237&gt;E$2,($B237-E$2)/(E$3-E$2),0))))</f>
        <v>0</v>
      </c>
      <c r="F237" s="1">
        <f t="shared" si="28"/>
        <v>0</v>
      </c>
      <c r="G237" s="1">
        <f t="shared" si="28"/>
        <v>0</v>
      </c>
      <c r="H237" s="1">
        <f t="shared" si="28"/>
        <v>0</v>
      </c>
      <c r="I237" s="1">
        <f t="shared" si="28"/>
        <v>0</v>
      </c>
      <c r="J237" s="1">
        <f t="shared" si="28"/>
        <v>0</v>
      </c>
      <c r="K237" s="1">
        <f t="shared" si="28"/>
        <v>0.6464646464646322</v>
      </c>
      <c r="L237" s="1">
        <f t="shared" si="28"/>
        <v>0.35353535353536786</v>
      </c>
      <c r="M237" s="1">
        <f t="shared" ref="M237:N300" si="30">IF($B237&gt;M$5,0,IF($B237&gt;M$4,(M$5-$B237)/(M$5-M$4),IF($B237&gt;M$3,1,IF($B237&gt;M$2,($B237-M$2)/(M$3-M$2),0))))</f>
        <v>0</v>
      </c>
      <c r="N237" s="1">
        <f t="shared" si="30"/>
        <v>0</v>
      </c>
    </row>
    <row r="238" spans="1:14" x14ac:dyDescent="0.3">
      <c r="A238" s="2">
        <v>229</v>
      </c>
      <c r="B238" s="3">
        <f t="shared" si="24"/>
        <v>54.20875420875435</v>
      </c>
      <c r="D238" s="1">
        <f t="shared" si="28"/>
        <v>0</v>
      </c>
      <c r="E238" s="1">
        <f t="shared" si="29"/>
        <v>0</v>
      </c>
      <c r="F238" s="1">
        <f t="shared" si="28"/>
        <v>0</v>
      </c>
      <c r="G238" s="1">
        <f t="shared" si="28"/>
        <v>0</v>
      </c>
      <c r="H238" s="1">
        <f t="shared" si="28"/>
        <v>0</v>
      </c>
      <c r="I238" s="1">
        <f t="shared" si="28"/>
        <v>0</v>
      </c>
      <c r="J238" s="1">
        <f t="shared" si="28"/>
        <v>0</v>
      </c>
      <c r="K238" s="1">
        <f t="shared" si="28"/>
        <v>0.57912457912456505</v>
      </c>
      <c r="L238" s="1">
        <f t="shared" si="28"/>
        <v>0.42087542087543495</v>
      </c>
      <c r="M238" s="1">
        <f t="shared" si="30"/>
        <v>0</v>
      </c>
      <c r="N238" s="1">
        <f t="shared" si="30"/>
        <v>0</v>
      </c>
    </row>
    <row r="239" spans="1:14" x14ac:dyDescent="0.3">
      <c r="A239" s="2">
        <v>230</v>
      </c>
      <c r="B239" s="3">
        <f t="shared" si="24"/>
        <v>54.882154882155021</v>
      </c>
      <c r="D239" s="1">
        <f t="shared" si="28"/>
        <v>0</v>
      </c>
      <c r="E239" s="1">
        <f t="shared" si="29"/>
        <v>0</v>
      </c>
      <c r="F239" s="1">
        <f t="shared" si="28"/>
        <v>0</v>
      </c>
      <c r="G239" s="1">
        <f t="shared" si="28"/>
        <v>0</v>
      </c>
      <c r="H239" s="1">
        <f t="shared" si="28"/>
        <v>0</v>
      </c>
      <c r="I239" s="1">
        <f t="shared" si="28"/>
        <v>0</v>
      </c>
      <c r="J239" s="1">
        <f t="shared" si="28"/>
        <v>0</v>
      </c>
      <c r="K239" s="1">
        <f t="shared" si="28"/>
        <v>0.51178451178449791</v>
      </c>
      <c r="L239" s="1">
        <f t="shared" si="28"/>
        <v>0.48821548821550209</v>
      </c>
      <c r="M239" s="1">
        <f t="shared" si="30"/>
        <v>0</v>
      </c>
      <c r="N239" s="1">
        <f t="shared" si="30"/>
        <v>0</v>
      </c>
    </row>
    <row r="240" spans="1:14" x14ac:dyDescent="0.3">
      <c r="A240" s="2">
        <v>231</v>
      </c>
      <c r="B240" s="3">
        <f t="shared" si="24"/>
        <v>55.555555555555692</v>
      </c>
      <c r="D240" s="1">
        <f t="shared" si="28"/>
        <v>0</v>
      </c>
      <c r="E240" s="1">
        <f t="shared" si="29"/>
        <v>0</v>
      </c>
      <c r="F240" s="1">
        <f t="shared" si="28"/>
        <v>0</v>
      </c>
      <c r="G240" s="1">
        <f t="shared" si="28"/>
        <v>0</v>
      </c>
      <c r="H240" s="1">
        <f t="shared" si="28"/>
        <v>0</v>
      </c>
      <c r="I240" s="1">
        <f t="shared" si="28"/>
        <v>0</v>
      </c>
      <c r="J240" s="1">
        <f t="shared" si="28"/>
        <v>0</v>
      </c>
      <c r="K240" s="1">
        <f t="shared" si="28"/>
        <v>0.44444444444443076</v>
      </c>
      <c r="L240" s="1">
        <f t="shared" si="28"/>
        <v>0.55555555555556924</v>
      </c>
      <c r="M240" s="1">
        <f t="shared" si="30"/>
        <v>0</v>
      </c>
      <c r="N240" s="1">
        <f t="shared" si="30"/>
        <v>0</v>
      </c>
    </row>
    <row r="241" spans="1:14" x14ac:dyDescent="0.3">
      <c r="A241" s="2">
        <v>232</v>
      </c>
      <c r="B241" s="3">
        <f t="shared" si="24"/>
        <v>56.228956228956363</v>
      </c>
      <c r="D241" s="1">
        <f t="shared" si="28"/>
        <v>0</v>
      </c>
      <c r="E241" s="1">
        <f t="shared" si="29"/>
        <v>0</v>
      </c>
      <c r="F241" s="1">
        <f t="shared" si="28"/>
        <v>0</v>
      </c>
      <c r="G241" s="1">
        <f t="shared" si="28"/>
        <v>0</v>
      </c>
      <c r="H241" s="1">
        <f t="shared" si="28"/>
        <v>0</v>
      </c>
      <c r="I241" s="1">
        <f t="shared" si="28"/>
        <v>0</v>
      </c>
      <c r="J241" s="1">
        <f t="shared" si="28"/>
        <v>0</v>
      </c>
      <c r="K241" s="1">
        <f t="shared" si="28"/>
        <v>0.37710437710436367</v>
      </c>
      <c r="L241" s="1">
        <f t="shared" si="28"/>
        <v>0.62289562289563638</v>
      </c>
      <c r="M241" s="1">
        <f t="shared" si="30"/>
        <v>0</v>
      </c>
      <c r="N241" s="1">
        <f t="shared" si="30"/>
        <v>0</v>
      </c>
    </row>
    <row r="242" spans="1:14" x14ac:dyDescent="0.3">
      <c r="A242" s="2">
        <v>233</v>
      </c>
      <c r="B242" s="3">
        <f t="shared" si="24"/>
        <v>56.902356902357035</v>
      </c>
      <c r="D242" s="1">
        <f t="shared" si="28"/>
        <v>0</v>
      </c>
      <c r="E242" s="1">
        <f t="shared" si="29"/>
        <v>0</v>
      </c>
      <c r="F242" s="1">
        <f t="shared" si="28"/>
        <v>0</v>
      </c>
      <c r="G242" s="1">
        <f t="shared" si="28"/>
        <v>0</v>
      </c>
      <c r="H242" s="1">
        <f t="shared" si="28"/>
        <v>0</v>
      </c>
      <c r="I242" s="1">
        <f t="shared" si="28"/>
        <v>0</v>
      </c>
      <c r="J242" s="1">
        <f t="shared" si="28"/>
        <v>0</v>
      </c>
      <c r="K242" s="1">
        <f t="shared" si="28"/>
        <v>0.30976430976429653</v>
      </c>
      <c r="L242" s="1">
        <f t="shared" si="28"/>
        <v>0.69023569023570341</v>
      </c>
      <c r="M242" s="1">
        <f t="shared" si="30"/>
        <v>0</v>
      </c>
      <c r="N242" s="1">
        <f t="shared" si="30"/>
        <v>0</v>
      </c>
    </row>
    <row r="243" spans="1:14" x14ac:dyDescent="0.3">
      <c r="A243" s="2">
        <v>234</v>
      </c>
      <c r="B243" s="3">
        <f t="shared" si="24"/>
        <v>57.575757575757706</v>
      </c>
      <c r="D243" s="1">
        <f t="shared" si="28"/>
        <v>0</v>
      </c>
      <c r="E243" s="1">
        <f t="shared" si="29"/>
        <v>0</v>
      </c>
      <c r="F243" s="1">
        <f t="shared" si="28"/>
        <v>0</v>
      </c>
      <c r="G243" s="1">
        <f t="shared" si="28"/>
        <v>0</v>
      </c>
      <c r="H243" s="1">
        <f t="shared" si="28"/>
        <v>0</v>
      </c>
      <c r="I243" s="1">
        <f t="shared" si="28"/>
        <v>0</v>
      </c>
      <c r="J243" s="1">
        <f t="shared" si="28"/>
        <v>0</v>
      </c>
      <c r="K243" s="1">
        <f t="shared" si="28"/>
        <v>0.24242424242422941</v>
      </c>
      <c r="L243" s="1">
        <f t="shared" si="28"/>
        <v>0.75757575757577056</v>
      </c>
      <c r="M243" s="1">
        <f t="shared" si="30"/>
        <v>0</v>
      </c>
      <c r="N243" s="1">
        <f t="shared" si="30"/>
        <v>0</v>
      </c>
    </row>
    <row r="244" spans="1:14" x14ac:dyDescent="0.3">
      <c r="A244" s="2">
        <v>235</v>
      </c>
      <c r="B244" s="3">
        <f t="shared" si="24"/>
        <v>58.249158249158377</v>
      </c>
      <c r="D244" s="1">
        <f t="shared" si="28"/>
        <v>0</v>
      </c>
      <c r="E244" s="1">
        <f t="shared" si="29"/>
        <v>0</v>
      </c>
      <c r="F244" s="1">
        <f t="shared" si="28"/>
        <v>0</v>
      </c>
      <c r="G244" s="1">
        <f t="shared" si="28"/>
        <v>0</v>
      </c>
      <c r="H244" s="1">
        <f t="shared" si="28"/>
        <v>0</v>
      </c>
      <c r="I244" s="1">
        <f t="shared" si="28"/>
        <v>0</v>
      </c>
      <c r="J244" s="1">
        <f t="shared" si="28"/>
        <v>0</v>
      </c>
      <c r="K244" s="1">
        <f t="shared" si="28"/>
        <v>0.1750841750841623</v>
      </c>
      <c r="L244" s="1">
        <f t="shared" si="28"/>
        <v>0.8249158249158377</v>
      </c>
      <c r="M244" s="1">
        <f t="shared" si="30"/>
        <v>0</v>
      </c>
      <c r="N244" s="1">
        <f t="shared" si="30"/>
        <v>0</v>
      </c>
    </row>
    <row r="245" spans="1:14" x14ac:dyDescent="0.3">
      <c r="A245" s="2">
        <v>236</v>
      </c>
      <c r="B245" s="3">
        <f t="shared" si="24"/>
        <v>58.922558922559048</v>
      </c>
      <c r="D245" s="1">
        <f t="shared" si="28"/>
        <v>0</v>
      </c>
      <c r="E245" s="1">
        <f t="shared" si="29"/>
        <v>0</v>
      </c>
      <c r="F245" s="1">
        <f t="shared" si="28"/>
        <v>0</v>
      </c>
      <c r="G245" s="1">
        <f t="shared" si="28"/>
        <v>0</v>
      </c>
      <c r="H245" s="1">
        <f t="shared" si="28"/>
        <v>0</v>
      </c>
      <c r="I245" s="1">
        <f t="shared" si="28"/>
        <v>0</v>
      </c>
      <c r="J245" s="1">
        <f t="shared" si="28"/>
        <v>0</v>
      </c>
      <c r="K245" s="1">
        <f t="shared" si="28"/>
        <v>0.10774410774409518</v>
      </c>
      <c r="L245" s="1">
        <f t="shared" si="28"/>
        <v>0.89225589225590485</v>
      </c>
      <c r="M245" s="1">
        <f t="shared" si="30"/>
        <v>0</v>
      </c>
      <c r="N245" s="1">
        <f t="shared" si="30"/>
        <v>0</v>
      </c>
    </row>
    <row r="246" spans="1:14" x14ac:dyDescent="0.3">
      <c r="A246" s="2">
        <v>237</v>
      </c>
      <c r="B246" s="3">
        <f t="shared" si="24"/>
        <v>59.595959595959719</v>
      </c>
      <c r="D246" s="1">
        <f t="shared" si="28"/>
        <v>0</v>
      </c>
      <c r="E246" s="1">
        <f t="shared" si="29"/>
        <v>0</v>
      </c>
      <c r="F246" s="1">
        <f t="shared" si="28"/>
        <v>0</v>
      </c>
      <c r="G246" s="1">
        <f t="shared" si="28"/>
        <v>0</v>
      </c>
      <c r="H246" s="1">
        <f t="shared" si="28"/>
        <v>0</v>
      </c>
      <c r="I246" s="1">
        <f t="shared" si="28"/>
        <v>0</v>
      </c>
      <c r="J246" s="1">
        <f t="shared" si="28"/>
        <v>0</v>
      </c>
      <c r="K246" s="1">
        <f t="shared" si="28"/>
        <v>4.0404040404028049E-2</v>
      </c>
      <c r="L246" s="1">
        <f t="shared" si="28"/>
        <v>0.95959595959597199</v>
      </c>
      <c r="M246" s="1">
        <f t="shared" si="30"/>
        <v>0</v>
      </c>
      <c r="N246" s="1">
        <f t="shared" si="30"/>
        <v>0</v>
      </c>
    </row>
    <row r="247" spans="1:14" x14ac:dyDescent="0.3">
      <c r="A247" s="2">
        <v>238</v>
      </c>
      <c r="B247" s="3">
        <f t="shared" si="24"/>
        <v>60.269360269360391</v>
      </c>
      <c r="D247" s="1">
        <f t="shared" si="28"/>
        <v>0</v>
      </c>
      <c r="E247" s="1">
        <f t="shared" si="29"/>
        <v>0</v>
      </c>
      <c r="F247" s="1">
        <f t="shared" si="28"/>
        <v>0</v>
      </c>
      <c r="G247" s="1">
        <f t="shared" si="28"/>
        <v>0</v>
      </c>
      <c r="H247" s="1">
        <f t="shared" si="28"/>
        <v>0</v>
      </c>
      <c r="I247" s="1">
        <f t="shared" si="28"/>
        <v>0</v>
      </c>
      <c r="J247" s="1">
        <f t="shared" si="28"/>
        <v>0</v>
      </c>
      <c r="K247" s="1">
        <f t="shared" si="28"/>
        <v>0</v>
      </c>
      <c r="L247" s="1">
        <f t="shared" si="28"/>
        <v>0.98653198653198049</v>
      </c>
      <c r="M247" s="1">
        <f t="shared" si="30"/>
        <v>1.3468013468019535E-2</v>
      </c>
      <c r="N247" s="1">
        <f t="shared" si="30"/>
        <v>0</v>
      </c>
    </row>
    <row r="248" spans="1:14" x14ac:dyDescent="0.3">
      <c r="A248" s="2">
        <v>239</v>
      </c>
      <c r="B248" s="3">
        <f t="shared" si="24"/>
        <v>60.942760942761062</v>
      </c>
      <c r="D248" s="1">
        <f t="shared" si="28"/>
        <v>0</v>
      </c>
      <c r="E248" s="1">
        <f t="shared" si="29"/>
        <v>0</v>
      </c>
      <c r="F248" s="1">
        <f t="shared" si="28"/>
        <v>0</v>
      </c>
      <c r="G248" s="1">
        <f t="shared" si="28"/>
        <v>0</v>
      </c>
      <c r="H248" s="1">
        <f t="shared" si="28"/>
        <v>0</v>
      </c>
      <c r="I248" s="1">
        <f t="shared" si="28"/>
        <v>0</v>
      </c>
      <c r="J248" s="1">
        <f t="shared" si="28"/>
        <v>0</v>
      </c>
      <c r="K248" s="1">
        <f t="shared" si="28"/>
        <v>0</v>
      </c>
      <c r="L248" s="1">
        <f t="shared" si="28"/>
        <v>0.95286195286194686</v>
      </c>
      <c r="M248" s="1">
        <f t="shared" si="30"/>
        <v>4.7138047138053099E-2</v>
      </c>
      <c r="N248" s="1">
        <f t="shared" si="30"/>
        <v>0</v>
      </c>
    </row>
    <row r="249" spans="1:14" x14ac:dyDescent="0.3">
      <c r="A249" s="2">
        <v>240</v>
      </c>
      <c r="B249" s="3">
        <f t="shared" si="24"/>
        <v>61.616161616161733</v>
      </c>
      <c r="D249" s="1">
        <f t="shared" si="28"/>
        <v>0</v>
      </c>
      <c r="E249" s="1">
        <f t="shared" si="29"/>
        <v>0</v>
      </c>
      <c r="F249" s="1">
        <f t="shared" si="28"/>
        <v>0</v>
      </c>
      <c r="G249" s="1">
        <f t="shared" si="28"/>
        <v>0</v>
      </c>
      <c r="H249" s="1">
        <f t="shared" si="28"/>
        <v>0</v>
      </c>
      <c r="I249" s="1">
        <f t="shared" si="28"/>
        <v>0</v>
      </c>
      <c r="J249" s="1">
        <f t="shared" si="28"/>
        <v>0</v>
      </c>
      <c r="K249" s="1">
        <f t="shared" si="28"/>
        <v>0</v>
      </c>
      <c r="L249" s="1">
        <f t="shared" si="28"/>
        <v>0.91919191919191334</v>
      </c>
      <c r="M249" s="1">
        <f t="shared" si="30"/>
        <v>8.0808080808086657E-2</v>
      </c>
      <c r="N249" s="1">
        <f t="shared" si="30"/>
        <v>0</v>
      </c>
    </row>
    <row r="250" spans="1:14" x14ac:dyDescent="0.3">
      <c r="A250" s="2">
        <v>241</v>
      </c>
      <c r="B250" s="3">
        <f t="shared" si="24"/>
        <v>62.289562289562404</v>
      </c>
      <c r="D250" s="1">
        <f t="shared" si="28"/>
        <v>0</v>
      </c>
      <c r="E250" s="1">
        <f t="shared" si="29"/>
        <v>0</v>
      </c>
      <c r="F250" s="1">
        <f t="shared" si="28"/>
        <v>0</v>
      </c>
      <c r="G250" s="1">
        <f t="shared" si="28"/>
        <v>0</v>
      </c>
      <c r="H250" s="1">
        <f t="shared" si="28"/>
        <v>0</v>
      </c>
      <c r="I250" s="1">
        <f t="shared" si="28"/>
        <v>0</v>
      </c>
      <c r="J250" s="1">
        <f t="shared" si="28"/>
        <v>0</v>
      </c>
      <c r="K250" s="1">
        <f t="shared" si="28"/>
        <v>0</v>
      </c>
      <c r="L250" s="1">
        <f t="shared" si="28"/>
        <v>0.88552188552187983</v>
      </c>
      <c r="M250" s="1">
        <f t="shared" si="30"/>
        <v>0.11447811447812022</v>
      </c>
      <c r="N250" s="1">
        <f t="shared" si="30"/>
        <v>0</v>
      </c>
    </row>
    <row r="251" spans="1:14" x14ac:dyDescent="0.3">
      <c r="A251" s="2">
        <v>242</v>
      </c>
      <c r="B251" s="3">
        <f t="shared" si="24"/>
        <v>62.962962962963076</v>
      </c>
      <c r="D251" s="1">
        <f t="shared" si="28"/>
        <v>0</v>
      </c>
      <c r="E251" s="1">
        <f t="shared" si="29"/>
        <v>0</v>
      </c>
      <c r="F251" s="1">
        <f t="shared" si="28"/>
        <v>0</v>
      </c>
      <c r="G251" s="1">
        <f t="shared" si="28"/>
        <v>0</v>
      </c>
      <c r="H251" s="1">
        <f t="shared" si="28"/>
        <v>0</v>
      </c>
      <c r="I251" s="1">
        <f t="shared" si="28"/>
        <v>0</v>
      </c>
      <c r="J251" s="1">
        <f t="shared" si="28"/>
        <v>0</v>
      </c>
      <c r="K251" s="1">
        <f t="shared" si="28"/>
        <v>0</v>
      </c>
      <c r="L251" s="1">
        <f t="shared" si="28"/>
        <v>0.8518518518518462</v>
      </c>
      <c r="M251" s="1">
        <f t="shared" si="30"/>
        <v>0.14814814814815377</v>
      </c>
      <c r="N251" s="1">
        <f t="shared" si="30"/>
        <v>0</v>
      </c>
    </row>
    <row r="252" spans="1:14" x14ac:dyDescent="0.3">
      <c r="A252" s="2">
        <v>243</v>
      </c>
      <c r="B252" s="3">
        <f t="shared" si="24"/>
        <v>63.636363636363747</v>
      </c>
      <c r="D252" s="1">
        <f t="shared" si="28"/>
        <v>0</v>
      </c>
      <c r="E252" s="1">
        <f t="shared" si="29"/>
        <v>0</v>
      </c>
      <c r="F252" s="1">
        <f t="shared" si="28"/>
        <v>0</v>
      </c>
      <c r="G252" s="1">
        <f t="shared" si="28"/>
        <v>0</v>
      </c>
      <c r="H252" s="1">
        <f t="shared" si="28"/>
        <v>0</v>
      </c>
      <c r="I252" s="1">
        <f t="shared" si="28"/>
        <v>0</v>
      </c>
      <c r="J252" s="1">
        <f t="shared" si="28"/>
        <v>0</v>
      </c>
      <c r="K252" s="1">
        <f t="shared" si="28"/>
        <v>0</v>
      </c>
      <c r="L252" s="1">
        <f t="shared" si="28"/>
        <v>0.81818181818181268</v>
      </c>
      <c r="M252" s="1">
        <f t="shared" si="30"/>
        <v>0.18181818181818735</v>
      </c>
      <c r="N252" s="1">
        <f t="shared" si="30"/>
        <v>0</v>
      </c>
    </row>
    <row r="253" spans="1:14" x14ac:dyDescent="0.3">
      <c r="A253" s="2">
        <v>244</v>
      </c>
      <c r="B253" s="3">
        <f t="shared" si="24"/>
        <v>64.309764309764418</v>
      </c>
      <c r="D253" s="1">
        <f t="shared" si="28"/>
        <v>0</v>
      </c>
      <c r="E253" s="1">
        <f t="shared" si="29"/>
        <v>0</v>
      </c>
      <c r="F253" s="1">
        <f t="shared" si="28"/>
        <v>0</v>
      </c>
      <c r="G253" s="1">
        <f t="shared" si="28"/>
        <v>0</v>
      </c>
      <c r="H253" s="1">
        <f t="shared" si="28"/>
        <v>0</v>
      </c>
      <c r="I253" s="1">
        <f t="shared" si="28"/>
        <v>0</v>
      </c>
      <c r="J253" s="1">
        <f t="shared" si="28"/>
        <v>0</v>
      </c>
      <c r="K253" s="1">
        <f t="shared" si="28"/>
        <v>0</v>
      </c>
      <c r="L253" s="1">
        <f t="shared" si="28"/>
        <v>0.78451178451177905</v>
      </c>
      <c r="M253" s="1">
        <f t="shared" si="30"/>
        <v>0.21548821548822089</v>
      </c>
      <c r="N253" s="1">
        <f t="shared" si="30"/>
        <v>0</v>
      </c>
    </row>
    <row r="254" spans="1:14" x14ac:dyDescent="0.3">
      <c r="A254" s="2">
        <v>245</v>
      </c>
      <c r="B254" s="3">
        <f t="shared" si="24"/>
        <v>64.983164983165096</v>
      </c>
      <c r="D254" s="1">
        <f t="shared" si="28"/>
        <v>0</v>
      </c>
      <c r="E254" s="1">
        <f t="shared" si="29"/>
        <v>0</v>
      </c>
      <c r="F254" s="1">
        <f t="shared" si="28"/>
        <v>0</v>
      </c>
      <c r="G254" s="1">
        <f t="shared" si="28"/>
        <v>0</v>
      </c>
      <c r="H254" s="1">
        <f t="shared" si="28"/>
        <v>0</v>
      </c>
      <c r="I254" s="1">
        <f t="shared" si="28"/>
        <v>0</v>
      </c>
      <c r="J254" s="1">
        <f t="shared" si="28"/>
        <v>0</v>
      </c>
      <c r="K254" s="1">
        <f t="shared" si="28"/>
        <v>0</v>
      </c>
      <c r="L254" s="1">
        <f t="shared" si="28"/>
        <v>0.7508417508417452</v>
      </c>
      <c r="M254" s="1">
        <f t="shared" si="30"/>
        <v>0.24915824915825482</v>
      </c>
      <c r="N254" s="1">
        <f t="shared" si="30"/>
        <v>0</v>
      </c>
    </row>
    <row r="255" spans="1:14" x14ac:dyDescent="0.3">
      <c r="A255" s="2">
        <v>246</v>
      </c>
      <c r="B255" s="3">
        <f t="shared" si="24"/>
        <v>65.656565656565775</v>
      </c>
      <c r="D255" s="1">
        <f t="shared" si="28"/>
        <v>0</v>
      </c>
      <c r="E255" s="1">
        <f t="shared" si="29"/>
        <v>0</v>
      </c>
      <c r="F255" s="1">
        <f t="shared" si="28"/>
        <v>0</v>
      </c>
      <c r="G255" s="1">
        <f t="shared" si="28"/>
        <v>0</v>
      </c>
      <c r="H255" s="1">
        <f t="shared" si="28"/>
        <v>0</v>
      </c>
      <c r="I255" s="1">
        <f t="shared" si="28"/>
        <v>0</v>
      </c>
      <c r="J255" s="1">
        <f t="shared" si="28"/>
        <v>0</v>
      </c>
      <c r="K255" s="1">
        <f t="shared" si="28"/>
        <v>0</v>
      </c>
      <c r="L255" s="1">
        <f t="shared" si="28"/>
        <v>0.71717171717171124</v>
      </c>
      <c r="M255" s="1">
        <f t="shared" si="30"/>
        <v>0.28282828282828876</v>
      </c>
      <c r="N255" s="1">
        <f t="shared" si="30"/>
        <v>0</v>
      </c>
    </row>
    <row r="256" spans="1:14" x14ac:dyDescent="0.3">
      <c r="A256" s="2">
        <v>247</v>
      </c>
      <c r="B256" s="3">
        <f t="shared" si="24"/>
        <v>66.329966329966453</v>
      </c>
      <c r="D256" s="1">
        <f t="shared" si="28"/>
        <v>0</v>
      </c>
      <c r="E256" s="1">
        <f t="shared" si="29"/>
        <v>0</v>
      </c>
      <c r="F256" s="1">
        <f t="shared" si="28"/>
        <v>0</v>
      </c>
      <c r="G256" s="1">
        <f t="shared" si="28"/>
        <v>0</v>
      </c>
      <c r="H256" s="1">
        <f t="shared" si="28"/>
        <v>0</v>
      </c>
      <c r="I256" s="1">
        <f t="shared" si="28"/>
        <v>0</v>
      </c>
      <c r="J256" s="1">
        <f t="shared" si="28"/>
        <v>0</v>
      </c>
      <c r="K256" s="1">
        <f t="shared" si="28"/>
        <v>0</v>
      </c>
      <c r="L256" s="1">
        <f t="shared" si="28"/>
        <v>0.68350168350167739</v>
      </c>
      <c r="M256" s="1">
        <f t="shared" si="30"/>
        <v>0.31649831649832266</v>
      </c>
      <c r="N256" s="1">
        <f t="shared" si="30"/>
        <v>0</v>
      </c>
    </row>
    <row r="257" spans="1:14" x14ac:dyDescent="0.3">
      <c r="A257" s="2">
        <v>248</v>
      </c>
      <c r="B257" s="3">
        <f t="shared" si="24"/>
        <v>67.003367003367131</v>
      </c>
      <c r="D257" s="1">
        <f t="shared" si="28"/>
        <v>0</v>
      </c>
      <c r="E257" s="1">
        <f t="shared" si="29"/>
        <v>0</v>
      </c>
      <c r="F257" s="1">
        <f t="shared" si="28"/>
        <v>0</v>
      </c>
      <c r="G257" s="1">
        <f t="shared" si="28"/>
        <v>0</v>
      </c>
      <c r="H257" s="1">
        <f t="shared" si="28"/>
        <v>0</v>
      </c>
      <c r="I257" s="1">
        <f t="shared" si="28"/>
        <v>0</v>
      </c>
      <c r="J257" s="1">
        <f t="shared" si="28"/>
        <v>0</v>
      </c>
      <c r="K257" s="1">
        <f t="shared" si="28"/>
        <v>0</v>
      </c>
      <c r="L257" s="1">
        <f t="shared" si="28"/>
        <v>0.64983164983164343</v>
      </c>
      <c r="M257" s="1">
        <f t="shared" si="30"/>
        <v>0.35016835016835657</v>
      </c>
      <c r="N257" s="1">
        <f t="shared" si="30"/>
        <v>0</v>
      </c>
    </row>
    <row r="258" spans="1:14" x14ac:dyDescent="0.3">
      <c r="A258" s="2">
        <v>249</v>
      </c>
      <c r="B258" s="3">
        <f t="shared" si="24"/>
        <v>67.67676767676781</v>
      </c>
      <c r="D258" s="1">
        <f t="shared" si="28"/>
        <v>0</v>
      </c>
      <c r="E258" s="1">
        <f t="shared" si="29"/>
        <v>0</v>
      </c>
      <c r="F258" s="1">
        <f t="shared" si="28"/>
        <v>0</v>
      </c>
      <c r="G258" s="1">
        <f t="shared" si="28"/>
        <v>0</v>
      </c>
      <c r="H258" s="1">
        <f t="shared" si="28"/>
        <v>0</v>
      </c>
      <c r="I258" s="1">
        <f t="shared" si="28"/>
        <v>0</v>
      </c>
      <c r="J258" s="1">
        <f t="shared" si="28"/>
        <v>0</v>
      </c>
      <c r="K258" s="1">
        <f t="shared" si="28"/>
        <v>0</v>
      </c>
      <c r="L258" s="1">
        <f t="shared" si="28"/>
        <v>0.61616161616160947</v>
      </c>
      <c r="M258" s="1">
        <f t="shared" si="30"/>
        <v>0.38383838383839047</v>
      </c>
      <c r="N258" s="1">
        <f t="shared" si="30"/>
        <v>0</v>
      </c>
    </row>
    <row r="259" spans="1:14" x14ac:dyDescent="0.3">
      <c r="A259" s="2">
        <v>250</v>
      </c>
      <c r="B259" s="3">
        <f t="shared" si="24"/>
        <v>68.350168350168488</v>
      </c>
      <c r="D259" s="1">
        <f t="shared" si="28"/>
        <v>0</v>
      </c>
      <c r="E259" s="1">
        <f t="shared" si="29"/>
        <v>0</v>
      </c>
      <c r="F259" s="1">
        <f t="shared" si="28"/>
        <v>0</v>
      </c>
      <c r="G259" s="1">
        <f t="shared" si="28"/>
        <v>0</v>
      </c>
      <c r="H259" s="1">
        <f t="shared" si="28"/>
        <v>0</v>
      </c>
      <c r="I259" s="1">
        <f t="shared" si="28"/>
        <v>0</v>
      </c>
      <c r="J259" s="1">
        <f t="shared" si="28"/>
        <v>0</v>
      </c>
      <c r="K259" s="1">
        <f t="shared" si="28"/>
        <v>0</v>
      </c>
      <c r="L259" s="1">
        <f t="shared" si="28"/>
        <v>0.58249158249157562</v>
      </c>
      <c r="M259" s="1">
        <f t="shared" si="30"/>
        <v>0.41750841750842438</v>
      </c>
      <c r="N259" s="1">
        <f t="shared" si="30"/>
        <v>0</v>
      </c>
    </row>
    <row r="260" spans="1:14" x14ac:dyDescent="0.3">
      <c r="A260" s="2">
        <v>251</v>
      </c>
      <c r="B260" s="3">
        <f t="shared" si="24"/>
        <v>69.023569023569166</v>
      </c>
      <c r="D260" s="1">
        <f t="shared" si="28"/>
        <v>0</v>
      </c>
      <c r="E260" s="1">
        <f t="shared" si="29"/>
        <v>0</v>
      </c>
      <c r="F260" s="1">
        <f t="shared" si="28"/>
        <v>0</v>
      </c>
      <c r="G260" s="1">
        <f t="shared" si="28"/>
        <v>0</v>
      </c>
      <c r="H260" s="1">
        <f t="shared" si="28"/>
        <v>0</v>
      </c>
      <c r="I260" s="1">
        <f t="shared" si="28"/>
        <v>0</v>
      </c>
      <c r="J260" s="1">
        <f t="shared" si="28"/>
        <v>0</v>
      </c>
      <c r="K260" s="1">
        <f t="shared" si="28"/>
        <v>0</v>
      </c>
      <c r="L260" s="1">
        <f t="shared" si="28"/>
        <v>0.54882154882154166</v>
      </c>
      <c r="M260" s="1">
        <f t="shared" si="30"/>
        <v>0.45117845117845834</v>
      </c>
      <c r="N260" s="1">
        <f t="shared" si="30"/>
        <v>0</v>
      </c>
    </row>
    <row r="261" spans="1:14" x14ac:dyDescent="0.3">
      <c r="A261" s="2">
        <v>252</v>
      </c>
      <c r="B261" s="3">
        <f t="shared" si="24"/>
        <v>69.696969696969845</v>
      </c>
      <c r="D261" s="1">
        <f t="shared" si="28"/>
        <v>0</v>
      </c>
      <c r="E261" s="1">
        <f t="shared" si="29"/>
        <v>0</v>
      </c>
      <c r="F261" s="1">
        <f t="shared" si="28"/>
        <v>0</v>
      </c>
      <c r="G261" s="1">
        <f t="shared" si="28"/>
        <v>0</v>
      </c>
      <c r="H261" s="1">
        <f t="shared" si="28"/>
        <v>0</v>
      </c>
      <c r="I261" s="1">
        <f t="shared" si="28"/>
        <v>0</v>
      </c>
      <c r="J261" s="1">
        <f t="shared" si="28"/>
        <v>0</v>
      </c>
      <c r="K261" s="1">
        <f t="shared" si="28"/>
        <v>0</v>
      </c>
      <c r="L261" s="1">
        <f t="shared" si="28"/>
        <v>0.51515151515150781</v>
      </c>
      <c r="M261" s="1">
        <f t="shared" si="30"/>
        <v>0.48484848484849224</v>
      </c>
      <c r="N261" s="1">
        <f t="shared" si="30"/>
        <v>0</v>
      </c>
    </row>
    <row r="262" spans="1:14" x14ac:dyDescent="0.3">
      <c r="A262" s="2">
        <v>253</v>
      </c>
      <c r="B262" s="3">
        <f t="shared" si="24"/>
        <v>70.370370370370523</v>
      </c>
      <c r="D262" s="1">
        <f t="shared" si="28"/>
        <v>0</v>
      </c>
      <c r="E262" s="1">
        <f t="shared" si="29"/>
        <v>0</v>
      </c>
      <c r="F262" s="1">
        <f t="shared" si="28"/>
        <v>0</v>
      </c>
      <c r="G262" s="1">
        <f t="shared" si="28"/>
        <v>0</v>
      </c>
      <c r="H262" s="1">
        <f t="shared" si="28"/>
        <v>0</v>
      </c>
      <c r="I262" s="1">
        <f t="shared" si="28"/>
        <v>0</v>
      </c>
      <c r="J262" s="1">
        <f t="shared" si="28"/>
        <v>0</v>
      </c>
      <c r="K262" s="1">
        <f t="shared" si="28"/>
        <v>0</v>
      </c>
      <c r="L262" s="1">
        <f t="shared" si="28"/>
        <v>0.48148148148147385</v>
      </c>
      <c r="M262" s="1">
        <f t="shared" si="30"/>
        <v>0.51851851851852615</v>
      </c>
      <c r="N262" s="1">
        <f t="shared" si="30"/>
        <v>0</v>
      </c>
    </row>
    <row r="263" spans="1:14" x14ac:dyDescent="0.3">
      <c r="A263" s="2">
        <v>254</v>
      </c>
      <c r="B263" s="3">
        <f t="shared" si="24"/>
        <v>71.043771043771201</v>
      </c>
      <c r="D263" s="1">
        <f t="shared" si="28"/>
        <v>0</v>
      </c>
      <c r="E263" s="1">
        <f t="shared" si="29"/>
        <v>0</v>
      </c>
      <c r="F263" s="1">
        <f t="shared" si="28"/>
        <v>0</v>
      </c>
      <c r="G263" s="1">
        <f t="shared" si="28"/>
        <v>0</v>
      </c>
      <c r="H263" s="1">
        <f t="shared" si="28"/>
        <v>0</v>
      </c>
      <c r="I263" s="1">
        <f t="shared" si="28"/>
        <v>0</v>
      </c>
      <c r="J263" s="1">
        <f t="shared" si="28"/>
        <v>0</v>
      </c>
      <c r="K263" s="1">
        <f t="shared" si="28"/>
        <v>0</v>
      </c>
      <c r="L263" s="1">
        <f t="shared" si="28"/>
        <v>0.44781144781143994</v>
      </c>
      <c r="M263" s="1">
        <f t="shared" si="30"/>
        <v>0.55218855218856011</v>
      </c>
      <c r="N263" s="1">
        <f t="shared" si="30"/>
        <v>0</v>
      </c>
    </row>
    <row r="264" spans="1:14" x14ac:dyDescent="0.3">
      <c r="A264" s="2">
        <v>255</v>
      </c>
      <c r="B264" s="3">
        <f t="shared" si="24"/>
        <v>71.71717171717188</v>
      </c>
      <c r="D264" s="1">
        <f t="shared" si="28"/>
        <v>0</v>
      </c>
      <c r="E264" s="1">
        <f t="shared" si="29"/>
        <v>0</v>
      </c>
      <c r="F264" s="1">
        <f t="shared" si="28"/>
        <v>0</v>
      </c>
      <c r="G264" s="1">
        <f t="shared" si="28"/>
        <v>0</v>
      </c>
      <c r="H264" s="1">
        <f t="shared" si="28"/>
        <v>0</v>
      </c>
      <c r="I264" s="1">
        <f t="shared" si="28"/>
        <v>0</v>
      </c>
      <c r="J264" s="1">
        <f t="shared" si="28"/>
        <v>0</v>
      </c>
      <c r="K264" s="1">
        <f t="shared" si="28"/>
        <v>0</v>
      </c>
      <c r="L264" s="1">
        <f t="shared" si="28"/>
        <v>0.41414141414140604</v>
      </c>
      <c r="M264" s="1">
        <f t="shared" si="30"/>
        <v>0.58585858585859396</v>
      </c>
      <c r="N264" s="1">
        <f t="shared" si="30"/>
        <v>0</v>
      </c>
    </row>
    <row r="265" spans="1:14" x14ac:dyDescent="0.3">
      <c r="A265" s="2">
        <v>256</v>
      </c>
      <c r="B265" s="3">
        <f t="shared" si="24"/>
        <v>72.390572390572558</v>
      </c>
      <c r="D265" s="1">
        <f t="shared" si="28"/>
        <v>0</v>
      </c>
      <c r="E265" s="1">
        <f t="shared" si="29"/>
        <v>0</v>
      </c>
      <c r="F265" s="1">
        <f t="shared" si="28"/>
        <v>0</v>
      </c>
      <c r="G265" s="1">
        <f t="shared" si="28"/>
        <v>0</v>
      </c>
      <c r="H265" s="1">
        <f t="shared" si="28"/>
        <v>0</v>
      </c>
      <c r="I265" s="1">
        <f t="shared" si="28"/>
        <v>0</v>
      </c>
      <c r="J265" s="1">
        <f t="shared" si="28"/>
        <v>0</v>
      </c>
      <c r="K265" s="1">
        <f t="shared" si="28"/>
        <v>0</v>
      </c>
      <c r="L265" s="1">
        <f t="shared" si="28"/>
        <v>0.38047138047137208</v>
      </c>
      <c r="M265" s="1">
        <f t="shared" si="30"/>
        <v>0.61952861952862792</v>
      </c>
      <c r="N265" s="1">
        <f t="shared" si="30"/>
        <v>0</v>
      </c>
    </row>
    <row r="266" spans="1:14" x14ac:dyDescent="0.3">
      <c r="A266" s="2">
        <v>257</v>
      </c>
      <c r="B266" s="3">
        <f t="shared" si="24"/>
        <v>73.063973063973236</v>
      </c>
      <c r="D266" s="1">
        <f t="shared" si="28"/>
        <v>0</v>
      </c>
      <c r="E266" s="1">
        <f t="shared" si="29"/>
        <v>0</v>
      </c>
      <c r="F266" s="1">
        <f t="shared" si="28"/>
        <v>0</v>
      </c>
      <c r="G266" s="1">
        <f t="shared" si="28"/>
        <v>0</v>
      </c>
      <c r="H266" s="1">
        <f t="shared" si="28"/>
        <v>0</v>
      </c>
      <c r="I266" s="1">
        <f t="shared" si="28"/>
        <v>0</v>
      </c>
      <c r="J266" s="1">
        <f t="shared" si="28"/>
        <v>0</v>
      </c>
      <c r="K266" s="1">
        <f t="shared" si="28"/>
        <v>0</v>
      </c>
      <c r="L266" s="1">
        <f t="shared" si="28"/>
        <v>0.34680134680133817</v>
      </c>
      <c r="M266" s="1">
        <f t="shared" si="30"/>
        <v>0.65319865319866177</v>
      </c>
      <c r="N266" s="1">
        <f t="shared" si="30"/>
        <v>0</v>
      </c>
    </row>
    <row r="267" spans="1:14" x14ac:dyDescent="0.3">
      <c r="A267" s="2">
        <v>258</v>
      </c>
      <c r="B267" s="3">
        <f t="shared" ref="B267:B305" si="31">B266+((B$306-B$9)/297)</f>
        <v>73.737373737373915</v>
      </c>
      <c r="D267" s="1">
        <f t="shared" si="28"/>
        <v>0</v>
      </c>
      <c r="E267" s="1">
        <f t="shared" si="29"/>
        <v>0</v>
      </c>
      <c r="F267" s="1">
        <f t="shared" si="28"/>
        <v>0</v>
      </c>
      <c r="G267" s="1">
        <f t="shared" si="28"/>
        <v>0</v>
      </c>
      <c r="H267" s="1">
        <f t="shared" si="28"/>
        <v>0</v>
      </c>
      <c r="I267" s="1">
        <f t="shared" si="28"/>
        <v>0</v>
      </c>
      <c r="J267" s="1">
        <f t="shared" si="28"/>
        <v>0</v>
      </c>
      <c r="K267" s="1">
        <f t="shared" si="28"/>
        <v>0</v>
      </c>
      <c r="L267" s="1">
        <f t="shared" si="28"/>
        <v>0.31313131313130427</v>
      </c>
      <c r="M267" s="1">
        <f t="shared" si="30"/>
        <v>0.68686868686869573</v>
      </c>
      <c r="N267" s="1">
        <f t="shared" si="30"/>
        <v>0</v>
      </c>
    </row>
    <row r="268" spans="1:14" x14ac:dyDescent="0.3">
      <c r="A268" s="2">
        <v>259</v>
      </c>
      <c r="B268" s="3">
        <f t="shared" si="31"/>
        <v>74.410774410774593</v>
      </c>
      <c r="D268" s="1">
        <f t="shared" si="28"/>
        <v>0</v>
      </c>
      <c r="E268" s="1">
        <f t="shared" si="29"/>
        <v>0</v>
      </c>
      <c r="F268" s="1">
        <f t="shared" si="28"/>
        <v>0</v>
      </c>
      <c r="G268" s="1">
        <f t="shared" si="28"/>
        <v>0</v>
      </c>
      <c r="H268" s="1">
        <f t="shared" si="28"/>
        <v>0</v>
      </c>
      <c r="I268" s="1">
        <f t="shared" si="28"/>
        <v>0</v>
      </c>
      <c r="J268" s="1">
        <f t="shared" si="28"/>
        <v>0</v>
      </c>
      <c r="K268" s="1">
        <f t="shared" ref="K268:K306" si="32">IF($B268&gt;K$5,0,IF($B268&gt;K$4,(K$5-$B268)/(K$5-K$4),IF($B268&gt;K$3,1,IF($B268&gt;K$2,($B268-K$2)/(K$3-K$2),0))))</f>
        <v>0</v>
      </c>
      <c r="L268" s="1">
        <f t="shared" si="28"/>
        <v>0.27946127946127036</v>
      </c>
      <c r="M268" s="1">
        <f t="shared" si="30"/>
        <v>0.72053872053872969</v>
      </c>
      <c r="N268" s="1">
        <f t="shared" si="30"/>
        <v>0</v>
      </c>
    </row>
    <row r="269" spans="1:14" x14ac:dyDescent="0.3">
      <c r="A269" s="2">
        <v>260</v>
      </c>
      <c r="B269" s="3">
        <f t="shared" si="31"/>
        <v>75.084175084175271</v>
      </c>
      <c r="D269" s="1">
        <f t="shared" ref="D269:L306" si="33">IF($B269&gt;D$5,0,IF($B269&gt;D$4,(D$5-$B269)/(D$5-D$4),IF($B269&gt;D$3,1,IF($B269&gt;D$2,($B269-D$2)/(D$3-D$2),0))))</f>
        <v>0</v>
      </c>
      <c r="E269" s="1">
        <f t="shared" si="29"/>
        <v>0</v>
      </c>
      <c r="F269" s="1">
        <f t="shared" si="33"/>
        <v>0</v>
      </c>
      <c r="G269" s="1">
        <f t="shared" si="33"/>
        <v>0</v>
      </c>
      <c r="H269" s="1">
        <f t="shared" si="33"/>
        <v>0</v>
      </c>
      <c r="I269" s="1">
        <f t="shared" si="33"/>
        <v>0</v>
      </c>
      <c r="J269" s="1">
        <f t="shared" si="33"/>
        <v>0</v>
      </c>
      <c r="K269" s="1">
        <f t="shared" si="32"/>
        <v>0</v>
      </c>
      <c r="L269" s="1">
        <f t="shared" si="33"/>
        <v>0.24579124579123643</v>
      </c>
      <c r="M269" s="1">
        <f t="shared" si="30"/>
        <v>0.75420875420876354</v>
      </c>
      <c r="N269" s="1">
        <f t="shared" si="30"/>
        <v>0</v>
      </c>
    </row>
    <row r="270" spans="1:14" x14ac:dyDescent="0.3">
      <c r="A270" s="2">
        <v>261</v>
      </c>
      <c r="B270" s="3">
        <f t="shared" si="31"/>
        <v>75.75757575757595</v>
      </c>
      <c r="D270" s="1">
        <f t="shared" si="33"/>
        <v>0</v>
      </c>
      <c r="E270" s="1">
        <f t="shared" si="29"/>
        <v>0</v>
      </c>
      <c r="F270" s="1">
        <f t="shared" si="33"/>
        <v>0</v>
      </c>
      <c r="G270" s="1">
        <f t="shared" si="33"/>
        <v>0</v>
      </c>
      <c r="H270" s="1">
        <f t="shared" si="33"/>
        <v>0</v>
      </c>
      <c r="I270" s="1">
        <f t="shared" si="33"/>
        <v>0</v>
      </c>
      <c r="J270" s="1">
        <f t="shared" si="33"/>
        <v>0</v>
      </c>
      <c r="K270" s="1">
        <f t="shared" si="32"/>
        <v>0</v>
      </c>
      <c r="L270" s="1">
        <f t="shared" si="33"/>
        <v>0.21212121212120252</v>
      </c>
      <c r="M270" s="1">
        <f t="shared" si="30"/>
        <v>0.7878787878787975</v>
      </c>
      <c r="N270" s="1">
        <f t="shared" si="30"/>
        <v>0</v>
      </c>
    </row>
    <row r="271" spans="1:14" x14ac:dyDescent="0.3">
      <c r="A271" s="2">
        <v>262</v>
      </c>
      <c r="B271" s="3">
        <f t="shared" si="31"/>
        <v>76.430976430976628</v>
      </c>
      <c r="D271" s="1">
        <f t="shared" si="33"/>
        <v>0</v>
      </c>
      <c r="E271" s="1">
        <f t="shared" si="29"/>
        <v>0</v>
      </c>
      <c r="F271" s="1">
        <f t="shared" si="33"/>
        <v>0</v>
      </c>
      <c r="G271" s="1">
        <f t="shared" si="33"/>
        <v>0</v>
      </c>
      <c r="H271" s="1">
        <f t="shared" si="33"/>
        <v>0</v>
      </c>
      <c r="I271" s="1">
        <f t="shared" si="33"/>
        <v>0</v>
      </c>
      <c r="J271" s="1">
        <f t="shared" si="33"/>
        <v>0</v>
      </c>
      <c r="K271" s="1">
        <f t="shared" si="32"/>
        <v>0</v>
      </c>
      <c r="L271" s="1">
        <f t="shared" si="33"/>
        <v>0.17845117845116859</v>
      </c>
      <c r="M271" s="1">
        <f t="shared" si="30"/>
        <v>0.82154882154883135</v>
      </c>
      <c r="N271" s="1">
        <f t="shared" si="30"/>
        <v>0</v>
      </c>
    </row>
    <row r="272" spans="1:14" x14ac:dyDescent="0.3">
      <c r="A272" s="2">
        <v>263</v>
      </c>
      <c r="B272" s="3">
        <f t="shared" si="31"/>
        <v>77.104377104377306</v>
      </c>
      <c r="D272" s="1">
        <f t="shared" si="33"/>
        <v>0</v>
      </c>
      <c r="E272" s="1">
        <f t="shared" si="29"/>
        <v>0</v>
      </c>
      <c r="F272" s="1">
        <f t="shared" si="33"/>
        <v>0</v>
      </c>
      <c r="G272" s="1">
        <f t="shared" si="33"/>
        <v>0</v>
      </c>
      <c r="H272" s="1">
        <f t="shared" si="33"/>
        <v>0</v>
      </c>
      <c r="I272" s="1">
        <f t="shared" si="33"/>
        <v>0</v>
      </c>
      <c r="J272" s="1">
        <f t="shared" si="33"/>
        <v>0</v>
      </c>
      <c r="K272" s="1">
        <f t="shared" si="32"/>
        <v>0</v>
      </c>
      <c r="L272" s="1">
        <f t="shared" si="33"/>
        <v>0.14478114478113469</v>
      </c>
      <c r="M272" s="1">
        <f t="shared" si="30"/>
        <v>0.85521885521886531</v>
      </c>
      <c r="N272" s="1">
        <f t="shared" si="30"/>
        <v>0</v>
      </c>
    </row>
    <row r="273" spans="1:14" x14ac:dyDescent="0.3">
      <c r="A273" s="2">
        <v>264</v>
      </c>
      <c r="B273" s="3">
        <f t="shared" si="31"/>
        <v>77.777777777777985</v>
      </c>
      <c r="D273" s="1">
        <f t="shared" si="33"/>
        <v>0</v>
      </c>
      <c r="E273" s="1">
        <f t="shared" si="29"/>
        <v>0</v>
      </c>
      <c r="F273" s="1">
        <f t="shared" si="33"/>
        <v>0</v>
      </c>
      <c r="G273" s="1">
        <f t="shared" si="33"/>
        <v>0</v>
      </c>
      <c r="H273" s="1">
        <f t="shared" si="33"/>
        <v>0</v>
      </c>
      <c r="I273" s="1">
        <f t="shared" si="33"/>
        <v>0</v>
      </c>
      <c r="J273" s="1">
        <f t="shared" si="33"/>
        <v>0</v>
      </c>
      <c r="K273" s="1">
        <f t="shared" si="32"/>
        <v>0</v>
      </c>
      <c r="L273" s="1">
        <f t="shared" si="33"/>
        <v>0.11111111111110077</v>
      </c>
      <c r="M273" s="1">
        <f t="shared" si="30"/>
        <v>0.88888888888889928</v>
      </c>
      <c r="N273" s="1">
        <f t="shared" si="30"/>
        <v>0</v>
      </c>
    </row>
    <row r="274" spans="1:14" x14ac:dyDescent="0.3">
      <c r="A274" s="2">
        <v>265</v>
      </c>
      <c r="B274" s="3">
        <f t="shared" si="31"/>
        <v>78.451178451178663</v>
      </c>
      <c r="D274" s="1">
        <f t="shared" si="33"/>
        <v>0</v>
      </c>
      <c r="E274" s="1">
        <f t="shared" si="29"/>
        <v>0</v>
      </c>
      <c r="F274" s="1">
        <f t="shared" si="33"/>
        <v>0</v>
      </c>
      <c r="G274" s="1">
        <f t="shared" si="33"/>
        <v>0</v>
      </c>
      <c r="H274" s="1">
        <f t="shared" si="33"/>
        <v>0</v>
      </c>
      <c r="I274" s="1">
        <f t="shared" si="33"/>
        <v>0</v>
      </c>
      <c r="J274" s="1">
        <f t="shared" si="33"/>
        <v>0</v>
      </c>
      <c r="K274" s="1">
        <f t="shared" si="32"/>
        <v>0</v>
      </c>
      <c r="L274" s="1">
        <f t="shared" si="33"/>
        <v>7.7441077441066847E-2</v>
      </c>
      <c r="M274" s="1">
        <f t="shared" si="30"/>
        <v>0.92255892255893313</v>
      </c>
      <c r="N274" s="1">
        <f t="shared" si="30"/>
        <v>0</v>
      </c>
    </row>
    <row r="275" spans="1:14" x14ac:dyDescent="0.3">
      <c r="A275" s="2">
        <v>266</v>
      </c>
      <c r="B275" s="3">
        <f t="shared" si="31"/>
        <v>79.124579124579341</v>
      </c>
      <c r="D275" s="1">
        <f t="shared" si="33"/>
        <v>0</v>
      </c>
      <c r="E275" s="1">
        <f t="shared" si="29"/>
        <v>0</v>
      </c>
      <c r="F275" s="1">
        <f t="shared" si="33"/>
        <v>0</v>
      </c>
      <c r="G275" s="1">
        <f t="shared" si="33"/>
        <v>0</v>
      </c>
      <c r="H275" s="1">
        <f t="shared" si="33"/>
        <v>0</v>
      </c>
      <c r="I275" s="1">
        <f t="shared" si="33"/>
        <v>0</v>
      </c>
      <c r="J275" s="1">
        <f t="shared" si="33"/>
        <v>0</v>
      </c>
      <c r="K275" s="1">
        <f t="shared" si="32"/>
        <v>0</v>
      </c>
      <c r="L275" s="1">
        <f t="shared" si="33"/>
        <v>4.3771043771032934E-2</v>
      </c>
      <c r="M275" s="1">
        <f t="shared" si="30"/>
        <v>0.95622895622896709</v>
      </c>
      <c r="N275" s="1">
        <f t="shared" si="30"/>
        <v>0</v>
      </c>
    </row>
    <row r="276" spans="1:14" x14ac:dyDescent="0.3">
      <c r="A276" s="2">
        <v>267</v>
      </c>
      <c r="B276" s="3">
        <f t="shared" si="31"/>
        <v>79.79797979798002</v>
      </c>
      <c r="D276" s="1">
        <f t="shared" si="33"/>
        <v>0</v>
      </c>
      <c r="E276" s="1">
        <f t="shared" si="29"/>
        <v>0</v>
      </c>
      <c r="F276" s="1">
        <f t="shared" si="33"/>
        <v>0</v>
      </c>
      <c r="G276" s="1">
        <f t="shared" si="33"/>
        <v>0</v>
      </c>
      <c r="H276" s="1">
        <f t="shared" si="33"/>
        <v>0</v>
      </c>
      <c r="I276" s="1">
        <f t="shared" si="33"/>
        <v>0</v>
      </c>
      <c r="J276" s="1">
        <f t="shared" si="33"/>
        <v>0</v>
      </c>
      <c r="K276" s="1">
        <f t="shared" si="32"/>
        <v>0</v>
      </c>
      <c r="L276" s="1">
        <f t="shared" si="33"/>
        <v>1.0101010100999019E-2</v>
      </c>
      <c r="M276" s="1">
        <f t="shared" si="30"/>
        <v>0.98989898989900094</v>
      </c>
      <c r="N276" s="1">
        <f t="shared" si="30"/>
        <v>0</v>
      </c>
    </row>
    <row r="277" spans="1:14" x14ac:dyDescent="0.3">
      <c r="A277" s="2">
        <v>268</v>
      </c>
      <c r="B277" s="3">
        <f t="shared" si="31"/>
        <v>80.471380471380698</v>
      </c>
      <c r="D277" s="1">
        <f t="shared" si="33"/>
        <v>0</v>
      </c>
      <c r="E277" s="1">
        <f t="shared" si="29"/>
        <v>0</v>
      </c>
      <c r="F277" s="1">
        <f t="shared" si="33"/>
        <v>0</v>
      </c>
      <c r="G277" s="1">
        <f t="shared" si="33"/>
        <v>0</v>
      </c>
      <c r="H277" s="1">
        <f t="shared" si="33"/>
        <v>0</v>
      </c>
      <c r="I277" s="1">
        <f t="shared" si="33"/>
        <v>0</v>
      </c>
      <c r="J277" s="1">
        <f t="shared" si="33"/>
        <v>0</v>
      </c>
      <c r="K277" s="1">
        <f t="shared" si="32"/>
        <v>0</v>
      </c>
      <c r="L277" s="1">
        <f t="shared" si="33"/>
        <v>0</v>
      </c>
      <c r="M277" s="1">
        <f t="shared" si="30"/>
        <v>0.95286195286193021</v>
      </c>
      <c r="N277" s="1">
        <f t="shared" si="30"/>
        <v>4.7138047138069794E-2</v>
      </c>
    </row>
    <row r="278" spans="1:14" x14ac:dyDescent="0.3">
      <c r="A278" s="2">
        <v>269</v>
      </c>
      <c r="B278" s="3">
        <f t="shared" si="31"/>
        <v>81.144781144781376</v>
      </c>
      <c r="D278" s="1">
        <f t="shared" si="33"/>
        <v>0</v>
      </c>
      <c r="E278" s="1">
        <f t="shared" si="29"/>
        <v>0</v>
      </c>
      <c r="F278" s="1">
        <f t="shared" si="33"/>
        <v>0</v>
      </c>
      <c r="G278" s="1">
        <f t="shared" si="33"/>
        <v>0</v>
      </c>
      <c r="H278" s="1">
        <f t="shared" si="33"/>
        <v>0</v>
      </c>
      <c r="I278" s="1">
        <f t="shared" si="33"/>
        <v>0</v>
      </c>
      <c r="J278" s="1">
        <f t="shared" si="33"/>
        <v>0</v>
      </c>
      <c r="K278" s="1">
        <f t="shared" si="32"/>
        <v>0</v>
      </c>
      <c r="L278" s="1">
        <f t="shared" si="33"/>
        <v>0</v>
      </c>
      <c r="M278" s="1">
        <f t="shared" si="30"/>
        <v>0.8855218855218624</v>
      </c>
      <c r="N278" s="1">
        <f t="shared" si="30"/>
        <v>0.11447811447813763</v>
      </c>
    </row>
    <row r="279" spans="1:14" x14ac:dyDescent="0.3">
      <c r="A279" s="2">
        <v>270</v>
      </c>
      <c r="B279" s="3">
        <f t="shared" si="31"/>
        <v>81.818181818182055</v>
      </c>
      <c r="D279" s="1">
        <f t="shared" si="33"/>
        <v>0</v>
      </c>
      <c r="E279" s="1">
        <f t="shared" si="29"/>
        <v>0</v>
      </c>
      <c r="F279" s="1">
        <f t="shared" si="33"/>
        <v>0</v>
      </c>
      <c r="G279" s="1">
        <f t="shared" si="33"/>
        <v>0</v>
      </c>
      <c r="H279" s="1">
        <f t="shared" si="33"/>
        <v>0</v>
      </c>
      <c r="I279" s="1">
        <f t="shared" si="33"/>
        <v>0</v>
      </c>
      <c r="J279" s="1">
        <f t="shared" si="33"/>
        <v>0</v>
      </c>
      <c r="K279" s="1">
        <f t="shared" si="32"/>
        <v>0</v>
      </c>
      <c r="L279" s="1">
        <f t="shared" si="33"/>
        <v>0</v>
      </c>
      <c r="M279" s="1">
        <f t="shared" si="30"/>
        <v>0.81818181818179458</v>
      </c>
      <c r="N279" s="1">
        <f t="shared" si="30"/>
        <v>0.18181818181820547</v>
      </c>
    </row>
    <row r="280" spans="1:14" x14ac:dyDescent="0.3">
      <c r="A280" s="2">
        <v>271</v>
      </c>
      <c r="B280" s="3">
        <f t="shared" si="31"/>
        <v>82.491582491582733</v>
      </c>
      <c r="D280" s="1">
        <f t="shared" si="33"/>
        <v>0</v>
      </c>
      <c r="E280" s="1">
        <f t="shared" si="29"/>
        <v>0</v>
      </c>
      <c r="F280" s="1">
        <f t="shared" si="33"/>
        <v>0</v>
      </c>
      <c r="G280" s="1">
        <f t="shared" si="33"/>
        <v>0</v>
      </c>
      <c r="H280" s="1">
        <f t="shared" si="33"/>
        <v>0</v>
      </c>
      <c r="I280" s="1">
        <f t="shared" si="33"/>
        <v>0</v>
      </c>
      <c r="J280" s="1">
        <f t="shared" si="33"/>
        <v>0</v>
      </c>
      <c r="K280" s="1">
        <f t="shared" si="32"/>
        <v>0</v>
      </c>
      <c r="L280" s="1">
        <f t="shared" si="33"/>
        <v>0</v>
      </c>
      <c r="M280" s="1">
        <f t="shared" si="30"/>
        <v>0.75084175084172666</v>
      </c>
      <c r="N280" s="1">
        <f t="shared" si="30"/>
        <v>0.24915824915827328</v>
      </c>
    </row>
    <row r="281" spans="1:14" x14ac:dyDescent="0.3">
      <c r="A281" s="2">
        <v>272</v>
      </c>
      <c r="B281" s="3">
        <f t="shared" si="31"/>
        <v>83.164983164983411</v>
      </c>
      <c r="D281" s="1">
        <f t="shared" si="33"/>
        <v>0</v>
      </c>
      <c r="E281" s="1">
        <f t="shared" si="29"/>
        <v>0</v>
      </c>
      <c r="F281" s="1">
        <f t="shared" si="33"/>
        <v>0</v>
      </c>
      <c r="G281" s="1">
        <f t="shared" si="33"/>
        <v>0</v>
      </c>
      <c r="H281" s="1">
        <f t="shared" si="33"/>
        <v>0</v>
      </c>
      <c r="I281" s="1">
        <f t="shared" si="33"/>
        <v>0</v>
      </c>
      <c r="J281" s="1">
        <f t="shared" si="33"/>
        <v>0</v>
      </c>
      <c r="K281" s="1">
        <f t="shared" si="32"/>
        <v>0</v>
      </c>
      <c r="L281" s="1">
        <f t="shared" si="33"/>
        <v>0</v>
      </c>
      <c r="M281" s="1">
        <f t="shared" si="30"/>
        <v>0.68350168350165885</v>
      </c>
      <c r="N281" s="1">
        <f t="shared" si="30"/>
        <v>0.31649831649834115</v>
      </c>
    </row>
    <row r="282" spans="1:14" x14ac:dyDescent="0.3">
      <c r="A282" s="2">
        <v>273</v>
      </c>
      <c r="B282" s="3">
        <f t="shared" si="31"/>
        <v>83.83838383838409</v>
      </c>
      <c r="D282" s="1">
        <f t="shared" si="33"/>
        <v>0</v>
      </c>
      <c r="E282" s="1">
        <f t="shared" si="29"/>
        <v>0</v>
      </c>
      <c r="F282" s="1">
        <f t="shared" si="33"/>
        <v>0</v>
      </c>
      <c r="G282" s="1">
        <f t="shared" si="33"/>
        <v>0</v>
      </c>
      <c r="H282" s="1">
        <f t="shared" si="33"/>
        <v>0</v>
      </c>
      <c r="I282" s="1">
        <f t="shared" si="33"/>
        <v>0</v>
      </c>
      <c r="J282" s="1">
        <f t="shared" si="33"/>
        <v>0</v>
      </c>
      <c r="K282" s="1">
        <f t="shared" si="32"/>
        <v>0</v>
      </c>
      <c r="L282" s="1">
        <f t="shared" si="33"/>
        <v>0</v>
      </c>
      <c r="M282" s="1">
        <f t="shared" si="30"/>
        <v>0.61616161616159104</v>
      </c>
      <c r="N282" s="1">
        <f t="shared" si="30"/>
        <v>0.38383838383840896</v>
      </c>
    </row>
    <row r="283" spans="1:14" x14ac:dyDescent="0.3">
      <c r="A283" s="2">
        <v>274</v>
      </c>
      <c r="B283" s="3">
        <f t="shared" si="31"/>
        <v>84.511784511784768</v>
      </c>
      <c r="D283" s="1">
        <f t="shared" si="33"/>
        <v>0</v>
      </c>
      <c r="E283" s="1">
        <f t="shared" si="29"/>
        <v>0</v>
      </c>
      <c r="F283" s="1">
        <f t="shared" si="33"/>
        <v>0</v>
      </c>
      <c r="G283" s="1">
        <f t="shared" si="33"/>
        <v>0</v>
      </c>
      <c r="H283" s="1">
        <f t="shared" si="33"/>
        <v>0</v>
      </c>
      <c r="I283" s="1">
        <f t="shared" si="33"/>
        <v>0</v>
      </c>
      <c r="J283" s="1">
        <f t="shared" si="33"/>
        <v>0</v>
      </c>
      <c r="K283" s="1">
        <f t="shared" si="32"/>
        <v>0</v>
      </c>
      <c r="L283" s="1">
        <f t="shared" si="33"/>
        <v>0</v>
      </c>
      <c r="M283" s="1">
        <f t="shared" si="30"/>
        <v>0.54882154882152323</v>
      </c>
      <c r="N283" s="1">
        <f t="shared" si="30"/>
        <v>0.45117845117847677</v>
      </c>
    </row>
    <row r="284" spans="1:14" x14ac:dyDescent="0.3">
      <c r="A284" s="2">
        <v>275</v>
      </c>
      <c r="B284" s="3">
        <f t="shared" si="31"/>
        <v>85.185185185185446</v>
      </c>
      <c r="D284" s="1">
        <f t="shared" si="33"/>
        <v>0</v>
      </c>
      <c r="E284" s="1">
        <f t="shared" si="29"/>
        <v>0</v>
      </c>
      <c r="F284" s="1">
        <f t="shared" si="33"/>
        <v>0</v>
      </c>
      <c r="G284" s="1">
        <f t="shared" si="33"/>
        <v>0</v>
      </c>
      <c r="H284" s="1">
        <f t="shared" si="33"/>
        <v>0</v>
      </c>
      <c r="I284" s="1">
        <f t="shared" si="33"/>
        <v>0</v>
      </c>
      <c r="J284" s="1">
        <f t="shared" si="33"/>
        <v>0</v>
      </c>
      <c r="K284" s="1">
        <f t="shared" si="32"/>
        <v>0</v>
      </c>
      <c r="L284" s="1">
        <f t="shared" si="33"/>
        <v>0</v>
      </c>
      <c r="M284" s="1">
        <f t="shared" si="30"/>
        <v>0.48148148148145536</v>
      </c>
      <c r="N284" s="1">
        <f t="shared" si="30"/>
        <v>0.51851851851854458</v>
      </c>
    </row>
    <row r="285" spans="1:14" x14ac:dyDescent="0.3">
      <c r="A285" s="2">
        <v>276</v>
      </c>
      <c r="B285" s="3">
        <f t="shared" si="31"/>
        <v>85.858585858586125</v>
      </c>
      <c r="D285" s="1">
        <f t="shared" si="33"/>
        <v>0</v>
      </c>
      <c r="E285" s="1">
        <f t="shared" si="29"/>
        <v>0</v>
      </c>
      <c r="F285" s="1">
        <f t="shared" si="33"/>
        <v>0</v>
      </c>
      <c r="G285" s="1">
        <f t="shared" si="33"/>
        <v>0</v>
      </c>
      <c r="H285" s="1">
        <f t="shared" si="33"/>
        <v>0</v>
      </c>
      <c r="I285" s="1">
        <f t="shared" si="33"/>
        <v>0</v>
      </c>
      <c r="J285" s="1">
        <f t="shared" si="33"/>
        <v>0</v>
      </c>
      <c r="K285" s="1">
        <f t="shared" si="32"/>
        <v>0</v>
      </c>
      <c r="L285" s="1">
        <f t="shared" si="33"/>
        <v>0</v>
      </c>
      <c r="M285" s="1">
        <f t="shared" si="30"/>
        <v>0.41414141414138755</v>
      </c>
      <c r="N285" s="1">
        <f t="shared" si="30"/>
        <v>0.5858585858586125</v>
      </c>
    </row>
    <row r="286" spans="1:14" x14ac:dyDescent="0.3">
      <c r="A286" s="2">
        <v>277</v>
      </c>
      <c r="B286" s="3">
        <f t="shared" si="31"/>
        <v>86.531986531986803</v>
      </c>
      <c r="D286" s="1">
        <f t="shared" si="33"/>
        <v>0</v>
      </c>
      <c r="E286" s="1">
        <f t="shared" si="29"/>
        <v>0</v>
      </c>
      <c r="F286" s="1">
        <f t="shared" si="33"/>
        <v>0</v>
      </c>
      <c r="G286" s="1">
        <f t="shared" si="33"/>
        <v>0</v>
      </c>
      <c r="H286" s="1">
        <f t="shared" si="33"/>
        <v>0</v>
      </c>
      <c r="I286" s="1">
        <f t="shared" si="33"/>
        <v>0</v>
      </c>
      <c r="J286" s="1">
        <f t="shared" si="33"/>
        <v>0</v>
      </c>
      <c r="K286" s="1">
        <f t="shared" si="32"/>
        <v>0</v>
      </c>
      <c r="L286" s="1">
        <f t="shared" si="33"/>
        <v>0</v>
      </c>
      <c r="M286" s="1">
        <f t="shared" si="30"/>
        <v>0.34680134680131969</v>
      </c>
      <c r="N286" s="1">
        <f t="shared" si="30"/>
        <v>0.65319865319868031</v>
      </c>
    </row>
    <row r="287" spans="1:14" x14ac:dyDescent="0.3">
      <c r="A287" s="2">
        <v>278</v>
      </c>
      <c r="B287" s="3">
        <f t="shared" si="31"/>
        <v>87.205387205387481</v>
      </c>
      <c r="D287" s="1">
        <f t="shared" si="33"/>
        <v>0</v>
      </c>
      <c r="E287" s="1">
        <f t="shared" si="29"/>
        <v>0</v>
      </c>
      <c r="F287" s="1">
        <f t="shared" si="33"/>
        <v>0</v>
      </c>
      <c r="G287" s="1">
        <f t="shared" si="33"/>
        <v>0</v>
      </c>
      <c r="H287" s="1">
        <f t="shared" si="33"/>
        <v>0</v>
      </c>
      <c r="I287" s="1">
        <f t="shared" si="33"/>
        <v>0</v>
      </c>
      <c r="J287" s="1">
        <f t="shared" si="33"/>
        <v>0</v>
      </c>
      <c r="K287" s="1">
        <f t="shared" si="32"/>
        <v>0</v>
      </c>
      <c r="L287" s="1">
        <f t="shared" si="33"/>
        <v>0</v>
      </c>
      <c r="M287" s="1">
        <f t="shared" si="30"/>
        <v>0.27946127946125188</v>
      </c>
      <c r="N287" s="1">
        <f t="shared" si="30"/>
        <v>0.72053872053874812</v>
      </c>
    </row>
    <row r="288" spans="1:14" x14ac:dyDescent="0.3">
      <c r="A288" s="2">
        <v>279</v>
      </c>
      <c r="B288" s="3">
        <f t="shared" si="31"/>
        <v>87.87878787878816</v>
      </c>
      <c r="D288" s="1">
        <f t="shared" si="33"/>
        <v>0</v>
      </c>
      <c r="E288" s="1">
        <f t="shared" si="29"/>
        <v>0</v>
      </c>
      <c r="F288" s="1">
        <f t="shared" si="33"/>
        <v>0</v>
      </c>
      <c r="G288" s="1">
        <f t="shared" si="33"/>
        <v>0</v>
      </c>
      <c r="H288" s="1">
        <f t="shared" si="33"/>
        <v>0</v>
      </c>
      <c r="I288" s="1">
        <f t="shared" si="33"/>
        <v>0</v>
      </c>
      <c r="J288" s="1">
        <f t="shared" si="33"/>
        <v>0</v>
      </c>
      <c r="K288" s="1">
        <f t="shared" si="32"/>
        <v>0</v>
      </c>
      <c r="L288" s="1">
        <f t="shared" si="33"/>
        <v>0</v>
      </c>
      <c r="M288" s="1">
        <f t="shared" si="30"/>
        <v>0.21212121212118404</v>
      </c>
      <c r="N288" s="1">
        <f t="shared" si="30"/>
        <v>0.78787878787881593</v>
      </c>
    </row>
    <row r="289" spans="1:14" x14ac:dyDescent="0.3">
      <c r="A289" s="2">
        <v>280</v>
      </c>
      <c r="B289" s="3">
        <f t="shared" si="31"/>
        <v>88.552188552188838</v>
      </c>
      <c r="D289" s="1">
        <f t="shared" si="33"/>
        <v>0</v>
      </c>
      <c r="E289" s="1">
        <f t="shared" si="29"/>
        <v>0</v>
      </c>
      <c r="F289" s="1">
        <f t="shared" si="33"/>
        <v>0</v>
      </c>
      <c r="G289" s="1">
        <f t="shared" si="33"/>
        <v>0</v>
      </c>
      <c r="H289" s="1">
        <f t="shared" si="33"/>
        <v>0</v>
      </c>
      <c r="I289" s="1">
        <f t="shared" si="33"/>
        <v>0</v>
      </c>
      <c r="J289" s="1">
        <f t="shared" si="33"/>
        <v>0</v>
      </c>
      <c r="K289" s="1">
        <f t="shared" si="32"/>
        <v>0</v>
      </c>
      <c r="L289" s="1">
        <f t="shared" si="33"/>
        <v>0</v>
      </c>
      <c r="M289" s="1">
        <f t="shared" si="30"/>
        <v>0.1447811447811162</v>
      </c>
      <c r="N289" s="1">
        <f t="shared" si="30"/>
        <v>0.85521885521888374</v>
      </c>
    </row>
    <row r="290" spans="1:14" x14ac:dyDescent="0.3">
      <c r="A290" s="2">
        <v>281</v>
      </c>
      <c r="B290" s="3">
        <f t="shared" si="31"/>
        <v>89.225589225589516</v>
      </c>
      <c r="D290" s="1">
        <f t="shared" si="33"/>
        <v>0</v>
      </c>
      <c r="E290" s="1">
        <f t="shared" si="29"/>
        <v>0</v>
      </c>
      <c r="F290" s="1">
        <f t="shared" si="33"/>
        <v>0</v>
      </c>
      <c r="G290" s="1">
        <f t="shared" si="33"/>
        <v>0</v>
      </c>
      <c r="H290" s="1">
        <f t="shared" si="33"/>
        <v>0</v>
      </c>
      <c r="I290" s="1">
        <f t="shared" si="33"/>
        <v>0</v>
      </c>
      <c r="J290" s="1">
        <f t="shared" si="33"/>
        <v>0</v>
      </c>
      <c r="K290" s="1">
        <f t="shared" si="32"/>
        <v>0</v>
      </c>
      <c r="L290" s="1">
        <f t="shared" si="33"/>
        <v>0</v>
      </c>
      <c r="M290" s="1">
        <f t="shared" si="30"/>
        <v>7.7441077441048375E-2</v>
      </c>
      <c r="N290" s="1">
        <f t="shared" si="30"/>
        <v>0.92255892255895167</v>
      </c>
    </row>
    <row r="291" spans="1:14" x14ac:dyDescent="0.3">
      <c r="A291" s="2">
        <v>282</v>
      </c>
      <c r="B291" s="3">
        <f t="shared" si="31"/>
        <v>89.898989898990195</v>
      </c>
      <c r="D291" s="1">
        <f t="shared" si="33"/>
        <v>0</v>
      </c>
      <c r="E291" s="1">
        <f t="shared" si="29"/>
        <v>0</v>
      </c>
      <c r="F291" s="1">
        <f t="shared" si="33"/>
        <v>0</v>
      </c>
      <c r="G291" s="1">
        <f t="shared" si="33"/>
        <v>0</v>
      </c>
      <c r="H291" s="1">
        <f t="shared" si="33"/>
        <v>0</v>
      </c>
      <c r="I291" s="1">
        <f t="shared" si="33"/>
        <v>0</v>
      </c>
      <c r="J291" s="1">
        <f t="shared" si="33"/>
        <v>0</v>
      </c>
      <c r="K291" s="1">
        <f t="shared" si="32"/>
        <v>0</v>
      </c>
      <c r="L291" s="1">
        <f t="shared" si="33"/>
        <v>0</v>
      </c>
      <c r="M291" s="1">
        <f t="shared" si="30"/>
        <v>1.0101010100980546E-2</v>
      </c>
      <c r="N291" s="1">
        <f t="shared" si="30"/>
        <v>0.98989898989901948</v>
      </c>
    </row>
    <row r="292" spans="1:14" x14ac:dyDescent="0.3">
      <c r="A292" s="2">
        <v>283</v>
      </c>
      <c r="B292" s="3">
        <f t="shared" si="31"/>
        <v>90.572390572390873</v>
      </c>
      <c r="D292" s="1">
        <f t="shared" si="33"/>
        <v>0</v>
      </c>
      <c r="E292" s="1">
        <f t="shared" si="29"/>
        <v>0</v>
      </c>
      <c r="F292" s="1">
        <f t="shared" si="33"/>
        <v>0</v>
      </c>
      <c r="G292" s="1">
        <f t="shared" si="33"/>
        <v>0</v>
      </c>
      <c r="H292" s="1">
        <f t="shared" si="33"/>
        <v>0</v>
      </c>
      <c r="I292" s="1">
        <f t="shared" si="33"/>
        <v>0</v>
      </c>
      <c r="J292" s="1">
        <f t="shared" si="33"/>
        <v>0</v>
      </c>
      <c r="K292" s="1">
        <f t="shared" si="32"/>
        <v>0</v>
      </c>
      <c r="L292" s="1">
        <f t="shared" si="33"/>
        <v>0</v>
      </c>
      <c r="M292" s="1">
        <f t="shared" si="30"/>
        <v>0</v>
      </c>
      <c r="N292" s="1">
        <f t="shared" si="30"/>
        <v>1</v>
      </c>
    </row>
    <row r="293" spans="1:14" x14ac:dyDescent="0.3">
      <c r="A293" s="2">
        <v>284</v>
      </c>
      <c r="B293" s="3">
        <f t="shared" si="31"/>
        <v>91.245791245791551</v>
      </c>
      <c r="D293" s="1">
        <f t="shared" si="33"/>
        <v>0</v>
      </c>
      <c r="E293" s="1">
        <f t="shared" si="29"/>
        <v>0</v>
      </c>
      <c r="F293" s="1">
        <f t="shared" si="33"/>
        <v>0</v>
      </c>
      <c r="G293" s="1">
        <f t="shared" si="33"/>
        <v>0</v>
      </c>
      <c r="H293" s="1">
        <f t="shared" si="33"/>
        <v>0</v>
      </c>
      <c r="I293" s="1">
        <f t="shared" si="33"/>
        <v>0</v>
      </c>
      <c r="J293" s="1">
        <f t="shared" si="33"/>
        <v>0</v>
      </c>
      <c r="K293" s="1">
        <f t="shared" si="32"/>
        <v>0</v>
      </c>
      <c r="L293" s="1">
        <f t="shared" si="33"/>
        <v>0</v>
      </c>
      <c r="M293" s="1">
        <f t="shared" si="30"/>
        <v>0</v>
      </c>
      <c r="N293" s="1">
        <f t="shared" si="30"/>
        <v>1</v>
      </c>
    </row>
    <row r="294" spans="1:14" x14ac:dyDescent="0.3">
      <c r="A294" s="2">
        <v>285</v>
      </c>
      <c r="B294" s="3">
        <f t="shared" si="31"/>
        <v>91.91919191919223</v>
      </c>
      <c r="D294" s="1">
        <f t="shared" si="33"/>
        <v>0</v>
      </c>
      <c r="E294" s="1">
        <f t="shared" si="29"/>
        <v>0</v>
      </c>
      <c r="F294" s="1">
        <f t="shared" si="33"/>
        <v>0</v>
      </c>
      <c r="G294" s="1">
        <f t="shared" si="33"/>
        <v>0</v>
      </c>
      <c r="H294" s="1">
        <f t="shared" si="33"/>
        <v>0</v>
      </c>
      <c r="I294" s="1">
        <f t="shared" si="33"/>
        <v>0</v>
      </c>
      <c r="J294" s="1">
        <f t="shared" si="33"/>
        <v>0</v>
      </c>
      <c r="K294" s="1">
        <f t="shared" si="32"/>
        <v>0</v>
      </c>
      <c r="L294" s="1">
        <f t="shared" si="33"/>
        <v>0</v>
      </c>
      <c r="M294" s="1">
        <f t="shared" si="30"/>
        <v>0</v>
      </c>
      <c r="N294" s="1">
        <f t="shared" si="30"/>
        <v>1</v>
      </c>
    </row>
    <row r="295" spans="1:14" x14ac:dyDescent="0.3">
      <c r="A295" s="2">
        <v>286</v>
      </c>
      <c r="B295" s="3">
        <f t="shared" si="31"/>
        <v>92.592592592592908</v>
      </c>
      <c r="D295" s="1">
        <f t="shared" si="33"/>
        <v>0</v>
      </c>
      <c r="E295" s="1">
        <f t="shared" si="29"/>
        <v>0</v>
      </c>
      <c r="F295" s="1">
        <f t="shared" si="33"/>
        <v>0</v>
      </c>
      <c r="G295" s="1">
        <f t="shared" si="33"/>
        <v>0</v>
      </c>
      <c r="H295" s="1">
        <f t="shared" si="33"/>
        <v>0</v>
      </c>
      <c r="I295" s="1">
        <f t="shared" si="33"/>
        <v>0</v>
      </c>
      <c r="J295" s="1">
        <f t="shared" si="33"/>
        <v>0</v>
      </c>
      <c r="K295" s="1">
        <f t="shared" si="32"/>
        <v>0</v>
      </c>
      <c r="L295" s="1">
        <f t="shared" si="33"/>
        <v>0</v>
      </c>
      <c r="M295" s="1">
        <f t="shared" si="30"/>
        <v>0</v>
      </c>
      <c r="N295" s="1">
        <f t="shared" si="30"/>
        <v>1</v>
      </c>
    </row>
    <row r="296" spans="1:14" x14ac:dyDescent="0.3">
      <c r="A296" s="2">
        <v>287</v>
      </c>
      <c r="B296" s="3">
        <f t="shared" si="31"/>
        <v>93.265993265993586</v>
      </c>
      <c r="D296" s="1">
        <f t="shared" si="33"/>
        <v>0</v>
      </c>
      <c r="E296" s="1">
        <f t="shared" si="29"/>
        <v>0</v>
      </c>
      <c r="F296" s="1">
        <f t="shared" si="33"/>
        <v>0</v>
      </c>
      <c r="G296" s="1">
        <f t="shared" si="33"/>
        <v>0</v>
      </c>
      <c r="H296" s="1">
        <f t="shared" si="33"/>
        <v>0</v>
      </c>
      <c r="I296" s="1">
        <f t="shared" si="33"/>
        <v>0</v>
      </c>
      <c r="J296" s="1">
        <f t="shared" ref="J296:J306" si="34">IF($B296&gt;J$5,0,IF($B296&gt;J$4,(J$5-$B296)/(J$5-J$4),IF($B296&gt;J$3,1,IF($B296&gt;J$2,($B296-J$2)/(J$3-J$2),0))))</f>
        <v>0</v>
      </c>
      <c r="K296" s="1">
        <f t="shared" si="32"/>
        <v>0</v>
      </c>
      <c r="L296" s="1">
        <f t="shared" si="33"/>
        <v>0</v>
      </c>
      <c r="M296" s="1">
        <f t="shared" si="30"/>
        <v>0</v>
      </c>
      <c r="N296" s="1">
        <f t="shared" si="30"/>
        <v>1</v>
      </c>
    </row>
    <row r="297" spans="1:14" x14ac:dyDescent="0.3">
      <c r="A297" s="2">
        <v>288</v>
      </c>
      <c r="B297" s="3">
        <f t="shared" si="31"/>
        <v>93.939393939394265</v>
      </c>
      <c r="D297" s="1">
        <f t="shared" si="33"/>
        <v>0</v>
      </c>
      <c r="E297" s="1">
        <f t="shared" si="29"/>
        <v>0</v>
      </c>
      <c r="F297" s="1">
        <f t="shared" si="33"/>
        <v>0</v>
      </c>
      <c r="G297" s="1">
        <f t="shared" si="33"/>
        <v>0</v>
      </c>
      <c r="H297" s="1">
        <f t="shared" si="33"/>
        <v>0</v>
      </c>
      <c r="I297" s="1">
        <f t="shared" si="33"/>
        <v>0</v>
      </c>
      <c r="J297" s="1">
        <f t="shared" si="34"/>
        <v>0</v>
      </c>
      <c r="K297" s="1">
        <f t="shared" si="32"/>
        <v>0</v>
      </c>
      <c r="L297" s="1">
        <f t="shared" si="33"/>
        <v>0</v>
      </c>
      <c r="M297" s="1">
        <f t="shared" si="30"/>
        <v>0</v>
      </c>
      <c r="N297" s="1">
        <f t="shared" si="30"/>
        <v>1</v>
      </c>
    </row>
    <row r="298" spans="1:14" x14ac:dyDescent="0.3">
      <c r="A298" s="2">
        <v>289</v>
      </c>
      <c r="B298" s="3">
        <f t="shared" si="31"/>
        <v>94.612794612794943</v>
      </c>
      <c r="D298" s="1">
        <f t="shared" si="33"/>
        <v>0</v>
      </c>
      <c r="E298" s="1">
        <f t="shared" si="29"/>
        <v>0</v>
      </c>
      <c r="F298" s="1">
        <f t="shared" si="33"/>
        <v>0</v>
      </c>
      <c r="G298" s="1">
        <f t="shared" si="33"/>
        <v>0</v>
      </c>
      <c r="H298" s="1">
        <f t="shared" si="33"/>
        <v>0</v>
      </c>
      <c r="I298" s="1">
        <f t="shared" si="33"/>
        <v>0</v>
      </c>
      <c r="J298" s="1">
        <f t="shared" si="34"/>
        <v>0</v>
      </c>
      <c r="K298" s="1">
        <f t="shared" si="32"/>
        <v>0</v>
      </c>
      <c r="L298" s="1">
        <f t="shared" si="33"/>
        <v>0</v>
      </c>
      <c r="M298" s="1">
        <f t="shared" si="30"/>
        <v>0</v>
      </c>
      <c r="N298" s="1">
        <f t="shared" si="30"/>
        <v>1</v>
      </c>
    </row>
    <row r="299" spans="1:14" x14ac:dyDescent="0.3">
      <c r="A299" s="2">
        <v>290</v>
      </c>
      <c r="B299" s="3">
        <f t="shared" si="31"/>
        <v>95.286195286195621</v>
      </c>
      <c r="D299" s="1">
        <f t="shared" si="33"/>
        <v>0</v>
      </c>
      <c r="E299" s="1">
        <f t="shared" si="29"/>
        <v>0</v>
      </c>
      <c r="F299" s="1">
        <f t="shared" si="33"/>
        <v>0</v>
      </c>
      <c r="G299" s="1">
        <f t="shared" si="33"/>
        <v>0</v>
      </c>
      <c r="H299" s="1">
        <f t="shared" si="33"/>
        <v>0</v>
      </c>
      <c r="I299" s="1">
        <f t="shared" si="33"/>
        <v>0</v>
      </c>
      <c r="J299" s="1">
        <f t="shared" si="34"/>
        <v>0</v>
      </c>
      <c r="K299" s="1">
        <f t="shared" si="32"/>
        <v>0</v>
      </c>
      <c r="L299" s="1">
        <f t="shared" si="33"/>
        <v>0</v>
      </c>
      <c r="M299" s="1">
        <f t="shared" si="30"/>
        <v>0</v>
      </c>
      <c r="N299" s="1">
        <f t="shared" si="30"/>
        <v>1</v>
      </c>
    </row>
    <row r="300" spans="1:14" x14ac:dyDescent="0.3">
      <c r="A300" s="2">
        <v>291</v>
      </c>
      <c r="B300" s="3">
        <f t="shared" si="31"/>
        <v>95.9595959595963</v>
      </c>
      <c r="D300" s="1">
        <f t="shared" si="33"/>
        <v>0</v>
      </c>
      <c r="E300" s="1">
        <f t="shared" si="29"/>
        <v>0</v>
      </c>
      <c r="F300" s="1">
        <f t="shared" si="33"/>
        <v>0</v>
      </c>
      <c r="G300" s="1">
        <f t="shared" si="33"/>
        <v>0</v>
      </c>
      <c r="H300" s="1">
        <f t="shared" si="33"/>
        <v>0</v>
      </c>
      <c r="I300" s="1">
        <f t="shared" si="33"/>
        <v>0</v>
      </c>
      <c r="J300" s="1">
        <f t="shared" si="34"/>
        <v>0</v>
      </c>
      <c r="K300" s="1">
        <f t="shared" si="32"/>
        <v>0</v>
      </c>
      <c r="L300" s="1">
        <f t="shared" si="33"/>
        <v>0</v>
      </c>
      <c r="M300" s="1">
        <f t="shared" si="30"/>
        <v>0</v>
      </c>
      <c r="N300" s="1">
        <f t="shared" si="30"/>
        <v>1</v>
      </c>
    </row>
    <row r="301" spans="1:14" x14ac:dyDescent="0.3">
      <c r="A301" s="2">
        <v>292</v>
      </c>
      <c r="B301" s="3">
        <f t="shared" si="31"/>
        <v>96.632996632996978</v>
      </c>
      <c r="D301" s="1">
        <f t="shared" si="33"/>
        <v>0</v>
      </c>
      <c r="E301" s="1">
        <f t="shared" ref="E301:E306" si="35">IF($B301&gt;E$5,0,IF($B301&gt;E$4,(E$5-$B301)/(E$5-E$4),IF($B301&gt;E$3,1,IF($B301&gt;E$2,($B301-E$2)/(E$3-E$2),0))))</f>
        <v>0</v>
      </c>
      <c r="F301" s="1">
        <f t="shared" si="33"/>
        <v>0</v>
      </c>
      <c r="G301" s="1">
        <f t="shared" si="33"/>
        <v>0</v>
      </c>
      <c r="H301" s="1">
        <f t="shared" si="33"/>
        <v>0</v>
      </c>
      <c r="I301" s="1">
        <f t="shared" si="33"/>
        <v>0</v>
      </c>
      <c r="J301" s="1">
        <f t="shared" si="34"/>
        <v>0</v>
      </c>
      <c r="K301" s="1">
        <f t="shared" si="32"/>
        <v>0</v>
      </c>
      <c r="L301" s="1">
        <f t="shared" si="33"/>
        <v>0</v>
      </c>
      <c r="M301" s="1">
        <f t="shared" ref="M301:N306" si="36">IF($B301&gt;M$5,0,IF($B301&gt;M$4,(M$5-$B301)/(M$5-M$4),IF($B301&gt;M$3,1,IF($B301&gt;M$2,($B301-M$2)/(M$3-M$2),0))))</f>
        <v>0</v>
      </c>
      <c r="N301" s="1">
        <f t="shared" si="36"/>
        <v>1</v>
      </c>
    </row>
    <row r="302" spans="1:14" x14ac:dyDescent="0.3">
      <c r="A302" s="2">
        <v>293</v>
      </c>
      <c r="B302" s="3">
        <f t="shared" si="31"/>
        <v>97.306397306397656</v>
      </c>
      <c r="D302" s="1">
        <f t="shared" si="33"/>
        <v>0</v>
      </c>
      <c r="E302" s="1">
        <f t="shared" si="35"/>
        <v>0</v>
      </c>
      <c r="F302" s="1">
        <f t="shared" si="33"/>
        <v>0</v>
      </c>
      <c r="G302" s="1">
        <f t="shared" si="33"/>
        <v>0</v>
      </c>
      <c r="H302" s="1">
        <f t="shared" si="33"/>
        <v>0</v>
      </c>
      <c r="I302" s="1">
        <f t="shared" si="33"/>
        <v>0</v>
      </c>
      <c r="J302" s="1">
        <f t="shared" si="34"/>
        <v>0</v>
      </c>
      <c r="K302" s="1">
        <f t="shared" si="32"/>
        <v>0</v>
      </c>
      <c r="L302" s="1">
        <f t="shared" si="33"/>
        <v>0</v>
      </c>
      <c r="M302" s="1">
        <f t="shared" si="36"/>
        <v>0</v>
      </c>
      <c r="N302" s="1">
        <f t="shared" si="36"/>
        <v>1</v>
      </c>
    </row>
    <row r="303" spans="1:14" x14ac:dyDescent="0.3">
      <c r="A303" s="2">
        <v>294</v>
      </c>
      <c r="B303" s="3">
        <f t="shared" si="31"/>
        <v>97.979797979798334</v>
      </c>
      <c r="D303" s="1">
        <f t="shared" si="33"/>
        <v>0</v>
      </c>
      <c r="E303" s="1">
        <f t="shared" si="35"/>
        <v>0</v>
      </c>
      <c r="F303" s="1">
        <f t="shared" si="33"/>
        <v>0</v>
      </c>
      <c r="G303" s="1">
        <f t="shared" si="33"/>
        <v>0</v>
      </c>
      <c r="H303" s="1">
        <f t="shared" si="33"/>
        <v>0</v>
      </c>
      <c r="I303" s="1">
        <f t="shared" si="33"/>
        <v>0</v>
      </c>
      <c r="J303" s="1">
        <f t="shared" si="34"/>
        <v>0</v>
      </c>
      <c r="K303" s="1">
        <f t="shared" si="32"/>
        <v>0</v>
      </c>
      <c r="L303" s="1">
        <f t="shared" si="33"/>
        <v>0</v>
      </c>
      <c r="M303" s="1">
        <f t="shared" si="36"/>
        <v>0</v>
      </c>
      <c r="N303" s="1">
        <f t="shared" si="36"/>
        <v>1</v>
      </c>
    </row>
    <row r="304" spans="1:14" x14ac:dyDescent="0.3">
      <c r="A304" s="2">
        <v>295</v>
      </c>
      <c r="B304" s="3">
        <f t="shared" si="31"/>
        <v>98.653198653199013</v>
      </c>
      <c r="D304" s="1">
        <f t="shared" si="33"/>
        <v>0</v>
      </c>
      <c r="E304" s="1">
        <f t="shared" si="35"/>
        <v>0</v>
      </c>
      <c r="F304" s="1">
        <f t="shared" si="33"/>
        <v>0</v>
      </c>
      <c r="G304" s="1">
        <f t="shared" si="33"/>
        <v>0</v>
      </c>
      <c r="H304" s="1">
        <f t="shared" si="33"/>
        <v>0</v>
      </c>
      <c r="I304" s="1">
        <f t="shared" si="33"/>
        <v>0</v>
      </c>
      <c r="J304" s="1">
        <f t="shared" si="34"/>
        <v>0</v>
      </c>
      <c r="K304" s="1">
        <f t="shared" si="32"/>
        <v>0</v>
      </c>
      <c r="L304" s="1">
        <f t="shared" si="33"/>
        <v>0</v>
      </c>
      <c r="M304" s="1">
        <f t="shared" si="36"/>
        <v>0</v>
      </c>
      <c r="N304" s="1">
        <f t="shared" si="36"/>
        <v>1</v>
      </c>
    </row>
    <row r="305" spans="1:14" x14ac:dyDescent="0.3">
      <c r="A305" s="2">
        <v>296</v>
      </c>
      <c r="B305" s="3">
        <f t="shared" si="31"/>
        <v>99.326599326599691</v>
      </c>
      <c r="D305" s="1">
        <f t="shared" si="33"/>
        <v>0</v>
      </c>
      <c r="E305" s="1">
        <f t="shared" si="35"/>
        <v>0</v>
      </c>
      <c r="F305" s="1">
        <f t="shared" si="33"/>
        <v>0</v>
      </c>
      <c r="G305" s="1">
        <f t="shared" si="33"/>
        <v>0</v>
      </c>
      <c r="H305" s="1">
        <f t="shared" si="33"/>
        <v>0</v>
      </c>
      <c r="I305" s="1">
        <f t="shared" si="33"/>
        <v>0</v>
      </c>
      <c r="J305" s="1">
        <f t="shared" si="34"/>
        <v>0</v>
      </c>
      <c r="K305" s="1">
        <f t="shared" si="32"/>
        <v>0</v>
      </c>
      <c r="L305" s="1">
        <f t="shared" si="33"/>
        <v>0</v>
      </c>
      <c r="M305" s="1">
        <f t="shared" si="36"/>
        <v>0</v>
      </c>
      <c r="N305" s="1">
        <f t="shared" si="36"/>
        <v>1</v>
      </c>
    </row>
    <row r="306" spans="1:14" x14ac:dyDescent="0.3">
      <c r="A306" s="2">
        <v>297</v>
      </c>
      <c r="B306" s="1">
        <v>100</v>
      </c>
      <c r="D306" s="1">
        <f t="shared" si="33"/>
        <v>0</v>
      </c>
      <c r="E306" s="1">
        <f t="shared" si="35"/>
        <v>0</v>
      </c>
      <c r="F306" s="1">
        <f t="shared" si="33"/>
        <v>0</v>
      </c>
      <c r="G306" s="1">
        <f t="shared" si="33"/>
        <v>0</v>
      </c>
      <c r="H306" s="1">
        <f t="shared" si="33"/>
        <v>0</v>
      </c>
      <c r="I306" s="1">
        <f t="shared" si="33"/>
        <v>0</v>
      </c>
      <c r="J306" s="1">
        <f t="shared" si="34"/>
        <v>0</v>
      </c>
      <c r="K306" s="1">
        <f t="shared" si="32"/>
        <v>0</v>
      </c>
      <c r="L306" s="1">
        <f t="shared" si="33"/>
        <v>0</v>
      </c>
      <c r="M306" s="1">
        <f t="shared" si="36"/>
        <v>0</v>
      </c>
      <c r="N306" s="1">
        <f t="shared" si="36"/>
        <v>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20F7-C0B5-4B6D-AC37-0B096A5C6A61}">
  <sheetPr codeName="Hoja7"/>
  <dimension ref="B2:E12"/>
  <sheetViews>
    <sheetView workbookViewId="0">
      <selection activeCell="B2" sqref="B2:E12"/>
    </sheetView>
  </sheetViews>
  <sheetFormatPr baseColWidth="10" defaultRowHeight="14.4" x14ac:dyDescent="0.3"/>
  <sheetData>
    <row r="2" spans="2:5" x14ac:dyDescent="0.3">
      <c r="B2" s="1">
        <v>-102</v>
      </c>
      <c r="C2" s="1">
        <v>-101</v>
      </c>
      <c r="D2" s="1">
        <v>-90</v>
      </c>
      <c r="E2" s="1">
        <v>-80</v>
      </c>
    </row>
    <row r="3" spans="2:5" x14ac:dyDescent="0.3">
      <c r="B3" s="1">
        <v>-90</v>
      </c>
      <c r="C3" s="1">
        <v>-80</v>
      </c>
      <c r="D3" s="1">
        <v>-80</v>
      </c>
      <c r="E3" s="1">
        <v>-40</v>
      </c>
    </row>
    <row r="4" spans="2:5" x14ac:dyDescent="0.3">
      <c r="B4" s="1">
        <v>-80</v>
      </c>
      <c r="C4" s="1">
        <v>-40</v>
      </c>
      <c r="D4" s="1">
        <v>-40</v>
      </c>
      <c r="E4" s="1">
        <v>-30</v>
      </c>
    </row>
    <row r="5" spans="2:5" x14ac:dyDescent="0.3">
      <c r="B5" s="1">
        <v>-40</v>
      </c>
      <c r="C5" s="1">
        <v>-30</v>
      </c>
      <c r="D5" s="1">
        <v>-30</v>
      </c>
      <c r="E5" s="1">
        <v>-10</v>
      </c>
    </row>
    <row r="6" spans="2:5" x14ac:dyDescent="0.3">
      <c r="B6" s="1">
        <v>-30</v>
      </c>
      <c r="C6" s="1">
        <v>-10</v>
      </c>
      <c r="D6" s="1">
        <v>-10</v>
      </c>
      <c r="E6" s="1">
        <v>10</v>
      </c>
    </row>
    <row r="7" spans="2:5" x14ac:dyDescent="0.3">
      <c r="B7" s="1">
        <v>-10</v>
      </c>
      <c r="C7" s="1">
        <v>10</v>
      </c>
      <c r="D7" s="1">
        <v>10</v>
      </c>
      <c r="E7" s="1">
        <v>30</v>
      </c>
    </row>
    <row r="8" spans="2:5" x14ac:dyDescent="0.3">
      <c r="B8" s="1">
        <v>10</v>
      </c>
      <c r="C8" s="1">
        <v>30</v>
      </c>
      <c r="D8" s="1">
        <v>30</v>
      </c>
      <c r="E8" s="1">
        <v>50</v>
      </c>
    </row>
    <row r="9" spans="2:5" x14ac:dyDescent="0.3">
      <c r="B9" s="1">
        <v>30</v>
      </c>
      <c r="C9" s="1">
        <v>50</v>
      </c>
      <c r="D9" s="1">
        <v>50</v>
      </c>
      <c r="E9" s="1">
        <v>60</v>
      </c>
    </row>
    <row r="10" spans="2:5" x14ac:dyDescent="0.3">
      <c r="B10" s="1">
        <v>50</v>
      </c>
      <c r="C10" s="1">
        <v>60</v>
      </c>
      <c r="D10" s="1">
        <v>60</v>
      </c>
      <c r="E10" s="1">
        <v>80</v>
      </c>
    </row>
    <row r="11" spans="2:5" x14ac:dyDescent="0.3">
      <c r="B11" s="1">
        <v>60</v>
      </c>
      <c r="C11" s="1">
        <v>80</v>
      </c>
      <c r="D11" s="1">
        <v>80</v>
      </c>
      <c r="E11" s="1">
        <v>90</v>
      </c>
    </row>
    <row r="12" spans="2:5" x14ac:dyDescent="0.3">
      <c r="B12" s="1">
        <v>80</v>
      </c>
      <c r="C12" s="1">
        <v>90</v>
      </c>
      <c r="D12" s="1">
        <v>101</v>
      </c>
      <c r="E12" s="1">
        <v>102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AV142"/>
  <sheetViews>
    <sheetView topLeftCell="A23" zoomScaleNormal="100" workbookViewId="0">
      <selection activeCell="M34" sqref="M34:P108"/>
    </sheetView>
  </sheetViews>
  <sheetFormatPr baseColWidth="10" defaultColWidth="11.44140625" defaultRowHeight="14.4" x14ac:dyDescent="0.3"/>
  <cols>
    <col min="1" max="7" width="11.44140625" style="1"/>
    <col min="8" max="8" width="2.88671875" style="1" customWidth="1"/>
    <col min="9" max="16" width="11.44140625" style="1"/>
    <col min="17" max="17" width="2.88671875" style="1" customWidth="1"/>
    <col min="18" max="16384" width="11.44140625" style="1"/>
  </cols>
  <sheetData>
    <row r="2" spans="2:48" x14ac:dyDescent="0.3">
      <c r="B2" s="1" t="s">
        <v>0</v>
      </c>
      <c r="C2" s="1">
        <f>'Entrada P'!D2</f>
        <v>-6</v>
      </c>
      <c r="D2" s="1">
        <f>'Entrada P'!E2</f>
        <v>-1</v>
      </c>
      <c r="E2" s="1">
        <f>'Entrada P'!F2</f>
        <v>-0.4</v>
      </c>
      <c r="F2" s="1">
        <f>'Entrada P'!G2</f>
        <v>0</v>
      </c>
      <c r="G2" s="1">
        <f>'Entrada P'!H2</f>
        <v>0.4</v>
      </c>
      <c r="L2" s="1">
        <f>'Entrada P'!D2</f>
        <v>-6</v>
      </c>
      <c r="M2" s="1">
        <f>'Entrada P'!E2</f>
        <v>-1</v>
      </c>
      <c r="N2" s="1">
        <f>'Entrada P'!F2</f>
        <v>-0.4</v>
      </c>
      <c r="O2" s="1">
        <f>'Entrada P'!G2</f>
        <v>0</v>
      </c>
      <c r="P2" s="1">
        <f>'Entrada P'!H2</f>
        <v>0.4</v>
      </c>
    </row>
    <row r="3" spans="2:48" x14ac:dyDescent="0.3">
      <c r="B3" s="1" t="s">
        <v>1</v>
      </c>
      <c r="C3" s="1">
        <f>'Entrada P'!D3</f>
        <v>-4</v>
      </c>
      <c r="D3" s="1">
        <f>'Entrada P'!E3</f>
        <v>-0.4</v>
      </c>
      <c r="E3" s="1">
        <f>'Entrada P'!F3</f>
        <v>0</v>
      </c>
      <c r="F3" s="1">
        <f>'Entrada P'!G3</f>
        <v>0.4</v>
      </c>
      <c r="G3" s="1">
        <f>'Entrada P'!H3</f>
        <v>1</v>
      </c>
      <c r="L3" s="1">
        <f>'Entrada P'!D3</f>
        <v>-4</v>
      </c>
      <c r="M3" s="1">
        <f>'Entrada P'!E3</f>
        <v>-0.4</v>
      </c>
      <c r="N3" s="1">
        <f>'Entrada P'!F3</f>
        <v>0</v>
      </c>
      <c r="O3" s="1">
        <f>'Entrada P'!G3</f>
        <v>0.4</v>
      </c>
      <c r="P3" s="1">
        <f>'Entrada P'!H3</f>
        <v>1</v>
      </c>
    </row>
    <row r="4" spans="2:48" x14ac:dyDescent="0.3">
      <c r="B4" s="1" t="s">
        <v>2</v>
      </c>
      <c r="C4" s="1">
        <f>'Entrada P'!D4</f>
        <v>-1</v>
      </c>
      <c r="D4" s="1">
        <f>'Entrada P'!E4</f>
        <v>-0.4</v>
      </c>
      <c r="E4" s="1">
        <f>'Entrada P'!F4</f>
        <v>0</v>
      </c>
      <c r="F4" s="1">
        <f>'Entrada P'!G4</f>
        <v>0.4</v>
      </c>
      <c r="G4" s="1">
        <f>'Entrada P'!H4</f>
        <v>4</v>
      </c>
      <c r="L4" s="1">
        <f>'Entrada P'!D4</f>
        <v>-1</v>
      </c>
      <c r="M4" s="1">
        <f>'Entrada P'!E4</f>
        <v>-0.4</v>
      </c>
      <c r="N4" s="1">
        <f>'Entrada P'!F4</f>
        <v>0</v>
      </c>
      <c r="O4" s="1">
        <f>'Entrada P'!G4</f>
        <v>0.4</v>
      </c>
      <c r="P4" s="1">
        <f>'Entrada P'!H4</f>
        <v>4</v>
      </c>
    </row>
    <row r="5" spans="2:48" x14ac:dyDescent="0.3">
      <c r="B5" s="1" t="s">
        <v>3</v>
      </c>
      <c r="C5" s="1">
        <f>'Entrada P'!D5</f>
        <v>-0.4</v>
      </c>
      <c r="D5" s="1">
        <f>'Entrada P'!E5</f>
        <v>0</v>
      </c>
      <c r="E5" s="1">
        <f>'Entrada P'!F5</f>
        <v>0.4</v>
      </c>
      <c r="F5" s="1">
        <f>'Entrada P'!G5</f>
        <v>1</v>
      </c>
      <c r="G5" s="1">
        <f>'Entrada P'!H5</f>
        <v>6</v>
      </c>
      <c r="L5" s="1">
        <f>'Entrada P'!D5</f>
        <v>-0.4</v>
      </c>
      <c r="M5" s="1">
        <f>'Entrada P'!E5</f>
        <v>0</v>
      </c>
      <c r="N5" s="1">
        <f>'Entrada P'!F5</f>
        <v>0.4</v>
      </c>
      <c r="O5" s="1">
        <f>'Entrada P'!G5</f>
        <v>1</v>
      </c>
      <c r="P5" s="1">
        <f>'Entrada P'!H5</f>
        <v>6</v>
      </c>
    </row>
    <row r="7" spans="2:48" x14ac:dyDescent="0.3">
      <c r="C7" s="1" t="s">
        <v>20</v>
      </c>
      <c r="D7" s="1">
        <f>SUM(C24:G26)/SUM(C9:G11)</f>
        <v>-26.30434662065824</v>
      </c>
      <c r="L7" s="1" t="s">
        <v>21</v>
      </c>
      <c r="M7" s="1">
        <f>SUM(L24:P26)/SUM(L9:P11)</f>
        <v>-22.60869324131648</v>
      </c>
    </row>
    <row r="8" spans="2:48" x14ac:dyDescent="0.3">
      <c r="I8" s="1" t="s">
        <v>19</v>
      </c>
      <c r="J8" s="1">
        <v>-0.65933207007405659</v>
      </c>
      <c r="R8" s="1" t="s">
        <v>19</v>
      </c>
      <c r="S8" s="1">
        <f>J8</f>
        <v>-0.65933207007405659</v>
      </c>
      <c r="U8" s="1" t="s">
        <v>0</v>
      </c>
      <c r="V8" s="1" t="s">
        <v>1</v>
      </c>
      <c r="W8" s="1" t="s">
        <v>2</v>
      </c>
      <c r="X8" s="1" t="s">
        <v>3</v>
      </c>
    </row>
    <row r="9" spans="2:48" x14ac:dyDescent="0.3">
      <c r="C9" s="5">
        <f>MIN(C$13,$J9)</f>
        <v>0</v>
      </c>
      <c r="D9" s="5">
        <f t="shared" ref="D9:G11" si="0">MIN(D$13,$J9)</f>
        <v>0</v>
      </c>
      <c r="E9" s="5">
        <f t="shared" si="0"/>
        <v>0</v>
      </c>
      <c r="F9" s="5">
        <f t="shared" si="0"/>
        <v>0</v>
      </c>
      <c r="G9" s="5">
        <f t="shared" si="0"/>
        <v>0</v>
      </c>
      <c r="I9" s="4" t="s">
        <v>12</v>
      </c>
      <c r="J9" s="1">
        <f>IF(J$8&gt;$X9,0,IF(J$8&gt;$W9,($X9-J$8)/($X9-$W9),IF(J$8&gt;$V9,1,IF(J$8&gt;$U9,(J$8-$U9)/($V9-$U9),0))))</f>
        <v>0</v>
      </c>
      <c r="L9" s="5">
        <f>MIN(L$13,$S9)</f>
        <v>0</v>
      </c>
      <c r="M9" s="5">
        <f t="shared" ref="M9:P11" si="1">MIN(M$13,$S9)</f>
        <v>0</v>
      </c>
      <c r="N9" s="5">
        <f t="shared" si="1"/>
        <v>0</v>
      </c>
      <c r="O9" s="5">
        <f t="shared" si="1"/>
        <v>0</v>
      </c>
      <c r="P9" s="5">
        <f t="shared" si="1"/>
        <v>0</v>
      </c>
      <c r="R9" s="4" t="s">
        <v>12</v>
      </c>
      <c r="S9" s="1">
        <f>IF(S$8&gt;$X9,0,IF(S$8&gt;$W9,($X9-S$8)/($X9-$W9),IF(S$8&gt;$V9,1,IF(S$8&gt;$U9,(S$8-$U9)/($V9-$U9),0))))</f>
        <v>0</v>
      </c>
      <c r="U9" s="1">
        <f>'Entrada D'!F2</f>
        <v>0</v>
      </c>
      <c r="V9" s="1">
        <f>'Entrada D'!F3</f>
        <v>0.2</v>
      </c>
      <c r="W9" s="1">
        <f>'Entrada D'!F4</f>
        <v>4</v>
      </c>
      <c r="X9" s="1">
        <f>'Entrada D'!F5</f>
        <v>6</v>
      </c>
    </row>
    <row r="10" spans="2:48" x14ac:dyDescent="0.3">
      <c r="C10" s="5">
        <f t="shared" ref="C10:C11" si="2">MIN(C$13,$J10)</f>
        <v>0</v>
      </c>
      <c r="D10" s="5">
        <f t="shared" si="0"/>
        <v>0</v>
      </c>
      <c r="E10" s="5">
        <f t="shared" si="0"/>
        <v>0</v>
      </c>
      <c r="F10" s="5">
        <f t="shared" si="0"/>
        <v>0</v>
      </c>
      <c r="G10" s="5">
        <f t="shared" si="0"/>
        <v>0</v>
      </c>
      <c r="I10" s="1" t="s">
        <v>9</v>
      </c>
      <c r="J10" s="1">
        <f t="shared" ref="J10:J11" si="3">IF(J$8&gt;$X10,0,IF(J$8&gt;$W10,($X10-J$8)/($X10-$W10),IF(J$8&gt;$V10,1,IF(J$8&gt;$U10,(J$8-$U10)/($V10-$U10),0))))</f>
        <v>0</v>
      </c>
      <c r="L10" s="5">
        <f t="shared" ref="L10:L11" si="4">MIN(L$13,$S10)</f>
        <v>0</v>
      </c>
      <c r="M10" s="5">
        <f t="shared" si="1"/>
        <v>0</v>
      </c>
      <c r="N10" s="5">
        <f t="shared" si="1"/>
        <v>0</v>
      </c>
      <c r="O10" s="5">
        <f t="shared" si="1"/>
        <v>0</v>
      </c>
      <c r="P10" s="5">
        <f t="shared" si="1"/>
        <v>0</v>
      </c>
      <c r="R10" s="1" t="s">
        <v>9</v>
      </c>
      <c r="S10" s="1">
        <f t="shared" ref="S10:S11" si="5">IF(S$8&gt;$X10,0,IF(S$8&gt;$W10,($X10-S$8)/($X10-$W10),IF(S$8&gt;$V10,1,IF(S$8&gt;$U10,(S$8-$U10)/($V10-$U10),0))))</f>
        <v>0</v>
      </c>
      <c r="U10" s="1">
        <f>'Entrada D'!E2</f>
        <v>-0.2</v>
      </c>
      <c r="V10" s="1">
        <f>'Entrada D'!E3</f>
        <v>0</v>
      </c>
      <c r="W10" s="1">
        <f>'Entrada D'!E4</f>
        <v>0</v>
      </c>
      <c r="X10" s="1">
        <f>'Entrada D'!E5</f>
        <v>0.2</v>
      </c>
    </row>
    <row r="11" spans="2:48" x14ac:dyDescent="0.3">
      <c r="C11" s="5">
        <f t="shared" si="2"/>
        <v>0</v>
      </c>
      <c r="D11" s="5">
        <f t="shared" si="0"/>
        <v>0</v>
      </c>
      <c r="E11" s="5">
        <f t="shared" si="0"/>
        <v>0</v>
      </c>
      <c r="F11" s="5">
        <f t="shared" si="0"/>
        <v>9.2391334483544016E-2</v>
      </c>
      <c r="G11" s="5">
        <f t="shared" si="0"/>
        <v>0.90760866551645603</v>
      </c>
      <c r="I11" s="4" t="s">
        <v>11</v>
      </c>
      <c r="J11" s="1">
        <f t="shared" si="3"/>
        <v>1</v>
      </c>
      <c r="L11" s="5">
        <f t="shared" si="4"/>
        <v>0</v>
      </c>
      <c r="M11" s="5">
        <f t="shared" si="1"/>
        <v>0</v>
      </c>
      <c r="N11" s="5">
        <f t="shared" si="1"/>
        <v>0</v>
      </c>
      <c r="O11" s="5">
        <f t="shared" si="1"/>
        <v>9.2391334483544016E-2</v>
      </c>
      <c r="P11" s="5">
        <f t="shared" si="1"/>
        <v>0.90760866551645603</v>
      </c>
      <c r="R11" s="4" t="s">
        <v>11</v>
      </c>
      <c r="S11" s="1">
        <f t="shared" si="5"/>
        <v>1</v>
      </c>
      <c r="U11" s="1">
        <f>'Entrada D'!D2</f>
        <v>-6</v>
      </c>
      <c r="V11" s="1">
        <f>'Entrada D'!D3</f>
        <v>-4</v>
      </c>
      <c r="W11" s="1">
        <f>'Entrada D'!D4</f>
        <v>-0.2</v>
      </c>
      <c r="X11" s="1">
        <f>'Entrada D'!D5</f>
        <v>0</v>
      </c>
    </row>
    <row r="13" spans="2:48" x14ac:dyDescent="0.3">
      <c r="B13" s="1">
        <v>0.94456519930987359</v>
      </c>
      <c r="C13" s="1">
        <f>IF($B13&gt;C$5,0,IF($B13&gt;C$4,(C$5-$B13)/(C$5-C$4),IF($B13&gt;C$3,1,IF($B13&gt;C$2,($B13-C$2)/(C$3-C$2),0))))</f>
        <v>0</v>
      </c>
      <c r="D13" s="1">
        <f t="shared" ref="D13:G13" si="6">IF($B13&gt;D$5,0,IF($B13&gt;D$4,(D$5-$B13)/(D$5-D$4),IF($B13&gt;D$3,1,IF($B13&gt;D$2,($B13-D$2)/(D$3-D$2),0))))</f>
        <v>0</v>
      </c>
      <c r="E13" s="1">
        <f t="shared" si="6"/>
        <v>0</v>
      </c>
      <c r="F13" s="1">
        <f t="shared" si="6"/>
        <v>9.2391334483544016E-2</v>
      </c>
      <c r="G13" s="1">
        <f t="shared" si="6"/>
        <v>0.90760866551645603</v>
      </c>
      <c r="K13" s="1">
        <f>B13</f>
        <v>0.94456519930987359</v>
      </c>
      <c r="L13" s="1">
        <f>IF($B13&gt;L$5,0,IF($B13&gt;L$4,(L$5-$B13)/(L$5-L$4),IF($B13&gt;L$3,1,IF($B13&gt;L$2,($B13-L$2)/(L$3-L$2),0))))</f>
        <v>0</v>
      </c>
      <c r="M13" s="1">
        <f t="shared" ref="M13:P13" si="7">IF($B13&gt;M$5,0,IF($B13&gt;M$4,(M$5-$B13)/(M$5-M$4),IF($B13&gt;M$3,1,IF($B13&gt;M$2,($B13-M$2)/(M$3-M$2),0))))</f>
        <v>0</v>
      </c>
      <c r="N13" s="1">
        <f t="shared" si="7"/>
        <v>0</v>
      </c>
      <c r="O13" s="1">
        <f t="shared" si="7"/>
        <v>9.2391334483544016E-2</v>
      </c>
      <c r="P13" s="1">
        <f t="shared" si="7"/>
        <v>0.90760866551645603</v>
      </c>
      <c r="AH13" s="1">
        <v>34</v>
      </c>
      <c r="AI13" s="1">
        <v>35</v>
      </c>
      <c r="AJ13" s="1">
        <v>36</v>
      </c>
      <c r="AK13" s="1">
        <v>37</v>
      </c>
      <c r="AL13" s="1">
        <v>38</v>
      </c>
      <c r="AM13" s="1">
        <v>39</v>
      </c>
      <c r="AN13" s="1">
        <v>40</v>
      </c>
      <c r="AO13" s="1">
        <v>41</v>
      </c>
      <c r="AP13" s="1">
        <v>42</v>
      </c>
      <c r="AQ13" s="1">
        <v>43</v>
      </c>
      <c r="AR13" s="1">
        <v>44</v>
      </c>
      <c r="AS13" s="1">
        <v>45</v>
      </c>
      <c r="AT13" s="1">
        <v>46</v>
      </c>
      <c r="AU13" s="1">
        <v>47</v>
      </c>
      <c r="AV13" s="1">
        <v>48</v>
      </c>
    </row>
    <row r="14" spans="2:48" x14ac:dyDescent="0.3">
      <c r="B14" s="1" t="s">
        <v>18</v>
      </c>
      <c r="C14" s="1" t="s">
        <v>5</v>
      </c>
      <c r="D14" s="1" t="s">
        <v>6</v>
      </c>
      <c r="E14" s="1" t="s">
        <v>4</v>
      </c>
      <c r="F14" s="1" t="s">
        <v>7</v>
      </c>
      <c r="G14" s="1" t="s">
        <v>8</v>
      </c>
      <c r="K14" s="1" t="s">
        <v>18</v>
      </c>
      <c r="L14" s="1" t="s">
        <v>5</v>
      </c>
      <c r="M14" s="1" t="s">
        <v>6</v>
      </c>
      <c r="N14" s="1" t="s">
        <v>4</v>
      </c>
      <c r="O14" s="1" t="s">
        <v>7</v>
      </c>
      <c r="P14" s="1" t="s">
        <v>8</v>
      </c>
    </row>
    <row r="16" spans="2:48" x14ac:dyDescent="0.3">
      <c r="I16" s="1" t="s">
        <v>19</v>
      </c>
      <c r="R16" s="1" t="s">
        <v>19</v>
      </c>
    </row>
    <row r="17" spans="2:18" x14ac:dyDescent="0.3">
      <c r="C17" s="5">
        <v>60</v>
      </c>
      <c r="D17" s="5">
        <v>50</v>
      </c>
      <c r="E17" s="5">
        <v>-10</v>
      </c>
      <c r="F17" s="5">
        <v>-90</v>
      </c>
      <c r="G17" s="5">
        <v>-30</v>
      </c>
      <c r="I17" s="4" t="s">
        <v>12</v>
      </c>
      <c r="L17" s="5">
        <v>-10</v>
      </c>
      <c r="M17" s="5">
        <v>10</v>
      </c>
      <c r="N17" s="5">
        <v>60</v>
      </c>
      <c r="O17" s="5">
        <v>90</v>
      </c>
      <c r="P17" s="5">
        <v>-30</v>
      </c>
      <c r="R17" s="4" t="s">
        <v>12</v>
      </c>
    </row>
    <row r="18" spans="2:18" x14ac:dyDescent="0.3">
      <c r="C18" s="5">
        <v>80</v>
      </c>
      <c r="D18" s="5">
        <v>60</v>
      </c>
      <c r="E18" s="5">
        <v>30</v>
      </c>
      <c r="F18" s="5">
        <v>-80</v>
      </c>
      <c r="G18" s="5">
        <v>-30</v>
      </c>
      <c r="I18" s="1" t="s">
        <v>9</v>
      </c>
      <c r="L18" s="5">
        <v>-30</v>
      </c>
      <c r="M18" s="5">
        <v>-10</v>
      </c>
      <c r="N18" s="5">
        <v>30</v>
      </c>
      <c r="O18" s="5">
        <v>80</v>
      </c>
      <c r="P18" s="5">
        <v>-30</v>
      </c>
      <c r="R18" s="1" t="s">
        <v>9</v>
      </c>
    </row>
    <row r="19" spans="2:18" x14ac:dyDescent="0.3">
      <c r="C19" s="5">
        <v>90</v>
      </c>
      <c r="D19" s="5">
        <v>80</v>
      </c>
      <c r="E19" s="5">
        <v>60</v>
      </c>
      <c r="F19" s="5">
        <v>10</v>
      </c>
      <c r="G19" s="5">
        <v>-30</v>
      </c>
      <c r="I19" s="4" t="s">
        <v>11</v>
      </c>
      <c r="L19" s="5">
        <v>-40</v>
      </c>
      <c r="M19" s="5">
        <v>-30</v>
      </c>
      <c r="N19" s="5">
        <v>-10</v>
      </c>
      <c r="O19" s="5">
        <v>50</v>
      </c>
      <c r="P19" s="5">
        <v>-30</v>
      </c>
      <c r="R19" s="4" t="s">
        <v>11</v>
      </c>
    </row>
    <row r="21" spans="2:18" x14ac:dyDescent="0.3">
      <c r="B21" s="1" t="s">
        <v>18</v>
      </c>
      <c r="C21" s="1" t="s">
        <v>5</v>
      </c>
      <c r="D21" s="1" t="s">
        <v>6</v>
      </c>
      <c r="E21" s="1" t="s">
        <v>4</v>
      </c>
      <c r="F21" s="1" t="s">
        <v>7</v>
      </c>
      <c r="G21" s="1" t="s">
        <v>8</v>
      </c>
      <c r="K21" s="1" t="s">
        <v>18</v>
      </c>
      <c r="L21" s="1" t="s">
        <v>5</v>
      </c>
      <c r="M21" s="1" t="s">
        <v>6</v>
      </c>
      <c r="N21" s="1" t="s">
        <v>4</v>
      </c>
      <c r="O21" s="1" t="s">
        <v>7</v>
      </c>
      <c r="P21" s="1" t="s">
        <v>8</v>
      </c>
    </row>
    <row r="23" spans="2:18" x14ac:dyDescent="0.3">
      <c r="I23" s="1" t="s">
        <v>19</v>
      </c>
      <c r="R23" s="1" t="s">
        <v>19</v>
      </c>
    </row>
    <row r="24" spans="2:18" x14ac:dyDescent="0.3">
      <c r="C24" s="5">
        <f>C17*C9</f>
        <v>0</v>
      </c>
      <c r="D24" s="5">
        <f t="shared" ref="D24:G24" si="8">D17*D9</f>
        <v>0</v>
      </c>
      <c r="E24" s="5">
        <f t="shared" si="8"/>
        <v>0</v>
      </c>
      <c r="F24" s="5">
        <f t="shared" si="8"/>
        <v>0</v>
      </c>
      <c r="G24" s="5">
        <f t="shared" si="8"/>
        <v>0</v>
      </c>
      <c r="I24" s="4" t="s">
        <v>12</v>
      </c>
      <c r="L24" s="5">
        <f>L17*L9</f>
        <v>0</v>
      </c>
      <c r="M24" s="5">
        <f t="shared" ref="M24:P24" si="9">M17*M9</f>
        <v>0</v>
      </c>
      <c r="N24" s="5">
        <f t="shared" si="9"/>
        <v>0</v>
      </c>
      <c r="O24" s="5">
        <f t="shared" si="9"/>
        <v>0</v>
      </c>
      <c r="P24" s="5">
        <f t="shared" si="9"/>
        <v>0</v>
      </c>
      <c r="R24" s="4" t="s">
        <v>12</v>
      </c>
    </row>
    <row r="25" spans="2:18" x14ac:dyDescent="0.3">
      <c r="C25" s="5">
        <f t="shared" ref="C25:G26" si="10">C18*C10</f>
        <v>0</v>
      </c>
      <c r="D25" s="5">
        <f t="shared" si="10"/>
        <v>0</v>
      </c>
      <c r="E25" s="5">
        <f t="shared" si="10"/>
        <v>0</v>
      </c>
      <c r="F25" s="5">
        <f t="shared" si="10"/>
        <v>0</v>
      </c>
      <c r="G25" s="5">
        <f t="shared" si="10"/>
        <v>0</v>
      </c>
      <c r="I25" s="1" t="s">
        <v>9</v>
      </c>
      <c r="L25" s="5">
        <f t="shared" ref="L25:P25" si="11">L18*L10</f>
        <v>0</v>
      </c>
      <c r="M25" s="5">
        <f t="shared" si="11"/>
        <v>0</v>
      </c>
      <c r="N25" s="5">
        <f t="shared" si="11"/>
        <v>0</v>
      </c>
      <c r="O25" s="5">
        <f t="shared" si="11"/>
        <v>0</v>
      </c>
      <c r="P25" s="5">
        <f t="shared" si="11"/>
        <v>0</v>
      </c>
      <c r="R25" s="1" t="s">
        <v>9</v>
      </c>
    </row>
    <row r="26" spans="2:18" x14ac:dyDescent="0.3">
      <c r="C26" s="5">
        <f t="shared" si="10"/>
        <v>0</v>
      </c>
      <c r="D26" s="5">
        <f t="shared" si="10"/>
        <v>0</v>
      </c>
      <c r="E26" s="5">
        <f t="shared" si="10"/>
        <v>0</v>
      </c>
      <c r="F26" s="5">
        <f>F19*F11</f>
        <v>0.92391334483544019</v>
      </c>
      <c r="G26" s="5">
        <f>G19*G11</f>
        <v>-27.228259965493681</v>
      </c>
      <c r="I26" s="4" t="s">
        <v>11</v>
      </c>
      <c r="L26" s="5">
        <f t="shared" ref="L26:P26" si="12">L19*L11</f>
        <v>0</v>
      </c>
      <c r="M26" s="5">
        <f t="shared" si="12"/>
        <v>0</v>
      </c>
      <c r="N26" s="5">
        <f t="shared" si="12"/>
        <v>0</v>
      </c>
      <c r="O26" s="5">
        <f t="shared" si="12"/>
        <v>4.6195667241772007</v>
      </c>
      <c r="P26" s="5">
        <f t="shared" si="12"/>
        <v>-27.228259965493681</v>
      </c>
      <c r="R26" s="4" t="s">
        <v>11</v>
      </c>
    </row>
    <row r="28" spans="2:18" x14ac:dyDescent="0.3">
      <c r="B28" s="1" t="s">
        <v>18</v>
      </c>
      <c r="C28" s="1" t="s">
        <v>5</v>
      </c>
      <c r="D28" s="1" t="s">
        <v>6</v>
      </c>
      <c r="E28" s="1" t="s">
        <v>4</v>
      </c>
      <c r="F28" s="1" t="s">
        <v>7</v>
      </c>
      <c r="G28" s="1" t="s">
        <v>8</v>
      </c>
      <c r="K28" s="1" t="s">
        <v>18</v>
      </c>
      <c r="L28" s="1" t="s">
        <v>5</v>
      </c>
      <c r="M28" s="1" t="s">
        <v>6</v>
      </c>
      <c r="N28" s="1" t="s">
        <v>4</v>
      </c>
      <c r="O28" s="1" t="s">
        <v>7</v>
      </c>
      <c r="P28" s="1" t="s">
        <v>8</v>
      </c>
    </row>
    <row r="31" spans="2:18" x14ac:dyDescent="0.3">
      <c r="J31" s="1" t="s">
        <v>85</v>
      </c>
      <c r="K31" s="1" t="s">
        <v>85</v>
      </c>
    </row>
    <row r="32" spans="2:18" x14ac:dyDescent="0.3">
      <c r="B32" s="1" t="s">
        <v>84</v>
      </c>
      <c r="C32" s="1" t="s">
        <v>78</v>
      </c>
      <c r="D32" s="1" t="s">
        <v>81</v>
      </c>
      <c r="F32" s="1" t="s">
        <v>79</v>
      </c>
      <c r="G32" s="1" t="s">
        <v>80</v>
      </c>
      <c r="J32" s="1" t="s">
        <v>18</v>
      </c>
      <c r="K32" s="1" t="s">
        <v>19</v>
      </c>
      <c r="O32" s="1" t="s">
        <v>82</v>
      </c>
      <c r="P32" s="1" t="s">
        <v>83</v>
      </c>
    </row>
    <row r="34" spans="2:16" x14ac:dyDescent="0.3">
      <c r="B34" s="1">
        <v>1</v>
      </c>
      <c r="C34" s="1">
        <v>-1</v>
      </c>
      <c r="D34" s="1">
        <v>-0.89</v>
      </c>
      <c r="F34" s="1">
        <v>0.16</v>
      </c>
      <c r="G34" s="1">
        <v>1</v>
      </c>
      <c r="J34" s="1">
        <f ca="1">C34+(RAND()*(D34-C34))</f>
        <v>-0.98348282331733305</v>
      </c>
      <c r="K34" s="1">
        <f ca="1">F34+(RAND()*(G34-F34))</f>
        <v>0.98530378254406625</v>
      </c>
      <c r="M34" s="1">
        <v>-0.97366027708986869</v>
      </c>
      <c r="N34" s="1">
        <v>0.68509579759475681</v>
      </c>
      <c r="O34" s="1">
        <v>59.561004618164482</v>
      </c>
      <c r="P34" s="1">
        <v>-9.1220092363289567</v>
      </c>
    </row>
    <row r="35" spans="2:16" x14ac:dyDescent="0.3">
      <c r="B35" s="1">
        <v>2</v>
      </c>
      <c r="C35" s="1">
        <v>-0.52</v>
      </c>
      <c r="D35" s="1">
        <v>-0.33</v>
      </c>
      <c r="F35" s="1">
        <v>0.16</v>
      </c>
      <c r="G35" s="1">
        <v>1</v>
      </c>
      <c r="J35" s="1">
        <f t="shared" ref="J35:J48" ca="1" si="13">C35+(RAND()*(D35-C35))</f>
        <v>-0.3731783674847019</v>
      </c>
      <c r="K35" s="1">
        <f t="shared" ref="K35:K48" ca="1" si="14">F35+(RAND()*(G35-F35))</f>
        <v>0.98148643883446329</v>
      </c>
      <c r="M35" s="1">
        <v>-0.3778287263121578</v>
      </c>
      <c r="N35" s="1">
        <v>0.56840708255768624</v>
      </c>
      <c r="O35" s="1">
        <v>46.674308946823672</v>
      </c>
      <c r="P35" s="1">
        <v>12.771409210980277</v>
      </c>
    </row>
    <row r="36" spans="2:16" x14ac:dyDescent="0.3">
      <c r="B36" s="1">
        <v>3</v>
      </c>
      <c r="C36" s="1">
        <v>-0.08</v>
      </c>
      <c r="D36" s="1">
        <v>0.08</v>
      </c>
      <c r="F36" s="1">
        <v>0.16</v>
      </c>
      <c r="G36" s="1">
        <v>1</v>
      </c>
      <c r="J36" s="1">
        <f t="shared" ca="1" si="13"/>
        <v>-1.2297539077290948E-2</v>
      </c>
      <c r="K36" s="1">
        <f t="shared" ca="1" si="14"/>
        <v>0.57228043935456641</v>
      </c>
      <c r="M36" s="1">
        <v>1.5672189655222671E-2</v>
      </c>
      <c r="N36" s="1">
        <v>0.37972707875706202</v>
      </c>
      <c r="O36" s="1">
        <v>-13.134437931044534</v>
      </c>
      <c r="P36" s="1">
        <v>61.175414224141704</v>
      </c>
    </row>
    <row r="37" spans="2:16" x14ac:dyDescent="0.3">
      <c r="B37" s="1">
        <v>4</v>
      </c>
      <c r="C37" s="1">
        <v>0.33</v>
      </c>
      <c r="D37" s="1">
        <v>0.52</v>
      </c>
      <c r="F37" s="1">
        <v>0.16</v>
      </c>
      <c r="G37" s="1">
        <v>1</v>
      </c>
      <c r="J37" s="1">
        <f t="shared" ca="1" si="13"/>
        <v>0.34502611658561283</v>
      </c>
      <c r="K37" s="1">
        <f t="shared" ca="1" si="14"/>
        <v>0.99590635801675997</v>
      </c>
      <c r="M37" s="1">
        <v>0.37280445907085819</v>
      </c>
      <c r="N37" s="1">
        <v>0.66284080906142562</v>
      </c>
      <c r="O37" s="1">
        <v>-84.560891814171626</v>
      </c>
      <c r="P37" s="1">
        <v>87.960334430314361</v>
      </c>
    </row>
    <row r="38" spans="2:16" x14ac:dyDescent="0.3">
      <c r="B38" s="1">
        <v>5</v>
      </c>
      <c r="C38" s="1">
        <v>0.89</v>
      </c>
      <c r="D38" s="1">
        <v>1</v>
      </c>
      <c r="F38" s="1">
        <v>0.16</v>
      </c>
      <c r="G38" s="1">
        <v>1</v>
      </c>
      <c r="J38" s="1">
        <f t="shared" ca="1" si="13"/>
        <v>0.90560159620553515</v>
      </c>
      <c r="K38" s="1">
        <f t="shared" ca="1" si="14"/>
        <v>0.7898089912277948</v>
      </c>
      <c r="M38" s="1">
        <v>0.99065813699803651</v>
      </c>
      <c r="N38" s="1">
        <v>0.3136513283749035</v>
      </c>
      <c r="O38" s="1">
        <v>-30.934186300196352</v>
      </c>
      <c r="P38" s="1">
        <v>-28.131627399607304</v>
      </c>
    </row>
    <row r="39" spans="2:16" x14ac:dyDescent="0.3">
      <c r="B39" s="1">
        <v>6</v>
      </c>
      <c r="C39" s="1">
        <v>-1</v>
      </c>
      <c r="D39" s="1">
        <v>-0.89</v>
      </c>
      <c r="F39" s="1">
        <v>-0.04</v>
      </c>
      <c r="G39" s="1">
        <v>0.04</v>
      </c>
      <c r="J39" s="1">
        <f t="shared" ca="1" si="13"/>
        <v>-0.93698008296435797</v>
      </c>
      <c r="K39" s="1">
        <f t="shared" ca="1" si="14"/>
        <v>5.8404633000575801E-3</v>
      </c>
      <c r="M39" s="1">
        <v>-0.89420091543679348</v>
      </c>
      <c r="N39" s="1">
        <v>8.2674875242721851E-3</v>
      </c>
      <c r="O39" s="1">
        <v>74.83362165218719</v>
      </c>
      <c r="P39" s="1">
        <v>-24.451813238908052</v>
      </c>
    </row>
    <row r="40" spans="2:16" x14ac:dyDescent="0.3">
      <c r="B40" s="1">
        <v>7</v>
      </c>
      <c r="C40" s="1">
        <v>-0.52</v>
      </c>
      <c r="D40" s="1">
        <v>-0.33</v>
      </c>
      <c r="F40" s="1">
        <v>-0.04</v>
      </c>
      <c r="G40" s="1">
        <v>0.04</v>
      </c>
      <c r="J40" s="1">
        <f t="shared" ca="1" si="13"/>
        <v>-0.44316743008490744</v>
      </c>
      <c r="K40" s="1">
        <f t="shared" ca="1" si="14"/>
        <v>-2.1274450056413565E-2</v>
      </c>
      <c r="M40" s="1">
        <v>-0.46819092494320791</v>
      </c>
      <c r="N40" s="1">
        <v>1.9575401941874127E-2</v>
      </c>
      <c r="O40" s="1">
        <v>61.082380417149423</v>
      </c>
      <c r="P40" s="1">
        <v>-10.263842422546245</v>
      </c>
    </row>
    <row r="41" spans="2:16" x14ac:dyDescent="0.3">
      <c r="B41" s="1">
        <v>8</v>
      </c>
      <c r="C41" s="1">
        <v>-0.08</v>
      </c>
      <c r="D41" s="1">
        <v>0.08</v>
      </c>
      <c r="F41" s="1">
        <v>-0.04</v>
      </c>
      <c r="G41" s="1">
        <v>0.04</v>
      </c>
      <c r="J41" s="1">
        <f t="shared" ca="1" si="13"/>
        <v>3.1160381284197097E-2</v>
      </c>
      <c r="K41" s="1">
        <f t="shared" ca="1" si="14"/>
        <v>-2.3339696309188682E-2</v>
      </c>
      <c r="M41" s="1">
        <v>1.9810768729963429E-2</v>
      </c>
      <c r="N41" s="1">
        <v>8.6341887716222254E-4</v>
      </c>
      <c r="O41" s="1">
        <v>23.913852444417127</v>
      </c>
      <c r="P41" s="1">
        <v>32.840360378282902</v>
      </c>
    </row>
    <row r="42" spans="2:16" x14ac:dyDescent="0.3">
      <c r="B42" s="1">
        <v>9</v>
      </c>
      <c r="C42" s="1">
        <v>0.33</v>
      </c>
      <c r="D42" s="1">
        <v>0.52</v>
      </c>
      <c r="F42" s="1">
        <v>-0.04</v>
      </c>
      <c r="G42" s="1">
        <v>0.04</v>
      </c>
      <c r="J42" s="1">
        <f t="shared" ca="1" si="13"/>
        <v>0.36847170900570558</v>
      </c>
      <c r="K42" s="1">
        <f t="shared" ca="1" si="14"/>
        <v>-1.7928599020823405E-2</v>
      </c>
      <c r="M42" s="1">
        <v>0.44476062612241829</v>
      </c>
      <c r="N42" s="1">
        <v>-7.4220604527562711E-3</v>
      </c>
      <c r="O42" s="1">
        <v>-71.691190379165221</v>
      </c>
      <c r="P42" s="1">
        <v>67.524390195500544</v>
      </c>
    </row>
    <row r="43" spans="2:16" x14ac:dyDescent="0.3">
      <c r="B43" s="1">
        <v>10</v>
      </c>
      <c r="C43" s="1">
        <v>0.89</v>
      </c>
      <c r="D43" s="1">
        <v>1</v>
      </c>
      <c r="F43" s="1">
        <v>-0.04</v>
      </c>
      <c r="G43" s="1">
        <v>0.04</v>
      </c>
      <c r="J43" s="1">
        <f t="shared" ca="1" si="13"/>
        <v>0.96292053067628958</v>
      </c>
      <c r="K43" s="1">
        <f t="shared" ca="1" si="14"/>
        <v>5.294676885352477E-3</v>
      </c>
      <c r="M43" s="1">
        <v>0.97593168161038746</v>
      </c>
      <c r="N43" s="1">
        <v>-3.5313200017090082E-2</v>
      </c>
      <c r="O43" s="1">
        <v>-30.371346364698887</v>
      </c>
      <c r="P43" s="1">
        <v>-22.944419070721228</v>
      </c>
    </row>
    <row r="44" spans="2:16" x14ac:dyDescent="0.3">
      <c r="B44" s="1">
        <v>11</v>
      </c>
      <c r="C44" s="1">
        <v>-1</v>
      </c>
      <c r="D44" s="1">
        <v>-0.89</v>
      </c>
      <c r="F44" s="1">
        <v>-1</v>
      </c>
      <c r="G44" s="1">
        <v>-0.16</v>
      </c>
      <c r="J44" s="1">
        <f t="shared" ca="1" si="13"/>
        <v>-0.90201952035380439</v>
      </c>
      <c r="K44" s="1">
        <f t="shared" ca="1" si="14"/>
        <v>-0.63166273660711614</v>
      </c>
      <c r="M44" s="1">
        <v>-0.92542784870316408</v>
      </c>
      <c r="N44" s="1">
        <v>-0.57409606608549213</v>
      </c>
      <c r="O44" s="1">
        <v>88.757130811719406</v>
      </c>
      <c r="P44" s="1">
        <v>-38.757130811719399</v>
      </c>
    </row>
    <row r="45" spans="2:16" x14ac:dyDescent="0.3">
      <c r="B45" s="1">
        <v>12</v>
      </c>
      <c r="C45" s="1">
        <v>-0.52</v>
      </c>
      <c r="D45" s="1">
        <v>-0.33</v>
      </c>
      <c r="F45" s="1">
        <v>-1</v>
      </c>
      <c r="G45" s="1">
        <v>-0.16</v>
      </c>
      <c r="J45" s="1">
        <f t="shared" ca="1" si="13"/>
        <v>-0.37532468348357567</v>
      </c>
      <c r="K45" s="1">
        <f t="shared" ca="1" si="14"/>
        <v>-0.18605224773854812</v>
      </c>
      <c r="M45" s="1">
        <v>-0.46993298620536228</v>
      </c>
      <c r="N45" s="1">
        <v>-0.26105012422039153</v>
      </c>
      <c r="O45" s="1">
        <v>81.16554977008937</v>
      </c>
      <c r="P45" s="1">
        <v>-31.16554977008937</v>
      </c>
    </row>
    <row r="46" spans="2:16" x14ac:dyDescent="0.3">
      <c r="B46" s="1">
        <v>13</v>
      </c>
      <c r="C46" s="1">
        <v>-0.08</v>
      </c>
      <c r="D46" s="1">
        <v>0.08</v>
      </c>
      <c r="F46" s="1">
        <v>-1</v>
      </c>
      <c r="G46" s="1">
        <v>-0.16</v>
      </c>
      <c r="J46" s="1">
        <f t="shared" ca="1" si="13"/>
        <v>2.552307468283517E-2</v>
      </c>
      <c r="K46" s="1">
        <f t="shared" ca="1" si="14"/>
        <v>-0.88988944843606466</v>
      </c>
      <c r="M46" s="1">
        <v>-7.3478616851469364E-3</v>
      </c>
      <c r="N46" s="1">
        <v>-0.42536101541614046</v>
      </c>
      <c r="O46" s="1">
        <v>60.367393084257351</v>
      </c>
      <c r="P46" s="1">
        <v>-10.367393084257348</v>
      </c>
    </row>
    <row r="47" spans="2:16" x14ac:dyDescent="0.3">
      <c r="B47" s="1">
        <v>14</v>
      </c>
      <c r="C47" s="1">
        <v>0.33</v>
      </c>
      <c r="D47" s="1">
        <v>0.52</v>
      </c>
      <c r="F47" s="1">
        <v>-1</v>
      </c>
      <c r="G47" s="1">
        <v>-0.16</v>
      </c>
      <c r="J47" s="1">
        <f t="shared" ca="1" si="13"/>
        <v>0.50701156485758214</v>
      </c>
      <c r="K47" s="1">
        <f t="shared" ca="1" si="14"/>
        <v>-0.80090875939110262</v>
      </c>
      <c r="M47" s="1">
        <v>0.37352329371759496</v>
      </c>
      <c r="N47" s="1">
        <v>-0.59053439844277889</v>
      </c>
      <c r="O47" s="1">
        <v>13.309588285300633</v>
      </c>
      <c r="P47" s="1">
        <v>46.028494057639243</v>
      </c>
    </row>
    <row r="48" spans="2:16" x14ac:dyDescent="0.3">
      <c r="B48" s="1">
        <v>15</v>
      </c>
      <c r="C48" s="1">
        <v>0.89</v>
      </c>
      <c r="D48" s="1">
        <v>1</v>
      </c>
      <c r="F48" s="1">
        <v>-1</v>
      </c>
      <c r="G48" s="1">
        <v>-0.16</v>
      </c>
      <c r="J48" s="1">
        <f t="shared" ca="1" si="13"/>
        <v>0.91986323733282405</v>
      </c>
      <c r="K48" s="1">
        <f t="shared" ca="1" si="14"/>
        <v>-0.68142335935353548</v>
      </c>
      <c r="M48" s="1">
        <v>0.90297120068692638</v>
      </c>
      <c r="N48" s="1">
        <v>-0.49240720595808429</v>
      </c>
      <c r="O48" s="1">
        <v>-23.531413379128423</v>
      </c>
      <c r="P48" s="1">
        <v>-17.062826758256847</v>
      </c>
    </row>
    <row r="49" spans="2:17" ht="15" customHeight="1" x14ac:dyDescent="0.3">
      <c r="B49" s="1">
        <v>1</v>
      </c>
      <c r="C49" s="1">
        <v>-1</v>
      </c>
      <c r="D49" s="1">
        <v>-0.89</v>
      </c>
      <c r="F49" s="1">
        <v>0.16</v>
      </c>
      <c r="G49" s="1">
        <v>1</v>
      </c>
      <c r="J49" s="1">
        <f ca="1">C49+(RAND()*(D49-C49))</f>
        <v>-0.97803181495403757</v>
      </c>
      <c r="K49" s="1">
        <f ca="1">F49+(RAND()*(G49-F49))</f>
        <v>0.30463010872252289</v>
      </c>
      <c r="M49" s="1">
        <v>-0.94748893147122304</v>
      </c>
      <c r="N49" s="1">
        <v>0.79302054063018923</v>
      </c>
      <c r="O49" s="1">
        <v>59.124815524520386</v>
      </c>
      <c r="P49" s="1">
        <v>-8.2496310490407687</v>
      </c>
    </row>
    <row r="50" spans="2:17" ht="15" customHeight="1" x14ac:dyDescent="0.3">
      <c r="B50" s="1">
        <v>2</v>
      </c>
      <c r="C50" s="1">
        <v>-0.52</v>
      </c>
      <c r="D50" s="1">
        <v>-0.33</v>
      </c>
      <c r="F50" s="1">
        <v>0.16</v>
      </c>
      <c r="G50" s="1">
        <v>1</v>
      </c>
      <c r="J50" s="1">
        <f t="shared" ref="J50:J63" ca="1" si="15">C50+(RAND()*(D50-C50))</f>
        <v>-0.43407513884930526</v>
      </c>
      <c r="K50" s="1">
        <f t="shared" ref="K50:K63" ca="1" si="16">F50+(RAND()*(G50-F50))</f>
        <v>0.64420569900246483</v>
      </c>
      <c r="M50" s="1">
        <v>-0.33172312346136235</v>
      </c>
      <c r="N50" s="1">
        <v>0.63642342974692223</v>
      </c>
      <c r="O50" s="1">
        <v>39.758468519204349</v>
      </c>
      <c r="P50" s="1">
        <v>18.53460956732971</v>
      </c>
    </row>
    <row r="51" spans="2:17" ht="15" customHeight="1" x14ac:dyDescent="0.3">
      <c r="B51" s="1">
        <v>3</v>
      </c>
      <c r="C51" s="1">
        <v>-0.08</v>
      </c>
      <c r="D51" s="1">
        <v>0.08</v>
      </c>
      <c r="F51" s="1">
        <v>0.16</v>
      </c>
      <c r="G51" s="1">
        <v>1</v>
      </c>
      <c r="J51" s="1">
        <f t="shared" ca="1" si="15"/>
        <v>-4.2470153978073459E-2</v>
      </c>
      <c r="K51" s="1">
        <f t="shared" ca="1" si="16"/>
        <v>0.93611571670258409</v>
      </c>
      <c r="L51" s="6"/>
      <c r="M51" s="1">
        <v>5.8486198300917183E-2</v>
      </c>
      <c r="N51" s="1">
        <v>0.68863987109632763</v>
      </c>
      <c r="O51" s="6">
        <v>-21.697239660183435</v>
      </c>
      <c r="P51" s="1">
        <v>64.386464872568794</v>
      </c>
      <c r="Q51" s="6"/>
    </row>
    <row r="52" spans="2:17" ht="15" customHeight="1" x14ac:dyDescent="0.3">
      <c r="B52" s="1">
        <v>4</v>
      </c>
      <c r="C52" s="1">
        <v>0.33</v>
      </c>
      <c r="D52" s="1">
        <v>0.52</v>
      </c>
      <c r="F52" s="1">
        <v>0.16</v>
      </c>
      <c r="G52" s="1">
        <v>1</v>
      </c>
      <c r="J52" s="1">
        <f t="shared" ca="1" si="15"/>
        <v>0.50177530676011728</v>
      </c>
      <c r="K52" s="1">
        <f t="shared" ca="1" si="16"/>
        <v>0.18789715869292301</v>
      </c>
      <c r="L52" s="6"/>
      <c r="M52" s="1">
        <v>0.35475696617499586</v>
      </c>
      <c r="N52" s="1">
        <v>0.90586868037580603</v>
      </c>
      <c r="O52" s="6">
        <v>-80.951393234999173</v>
      </c>
      <c r="P52" s="1">
        <v>86.606772463124699</v>
      </c>
      <c r="Q52" s="6"/>
    </row>
    <row r="53" spans="2:17" ht="15" customHeight="1" x14ac:dyDescent="0.3">
      <c r="B53" s="1">
        <v>5</v>
      </c>
      <c r="C53" s="1">
        <v>0.89</v>
      </c>
      <c r="D53" s="1">
        <v>1</v>
      </c>
      <c r="F53" s="1">
        <v>0.16</v>
      </c>
      <c r="G53" s="1">
        <v>1</v>
      </c>
      <c r="J53" s="1">
        <f t="shared" ca="1" si="15"/>
        <v>0.97605378568833112</v>
      </c>
      <c r="K53" s="1">
        <f t="shared" ca="1" si="16"/>
        <v>0.29258345100715255</v>
      </c>
      <c r="L53" s="6"/>
      <c r="M53" s="1">
        <v>0.90860437633065783</v>
      </c>
      <c r="N53" s="1">
        <v>0.59605110666668293</v>
      </c>
      <c r="O53" s="6">
        <v>-39.139562366934214</v>
      </c>
      <c r="P53" s="1">
        <v>-11.720875266131562</v>
      </c>
      <c r="Q53" s="6"/>
    </row>
    <row r="54" spans="2:17" ht="15" customHeight="1" x14ac:dyDescent="0.3">
      <c r="B54" s="1">
        <v>6</v>
      </c>
      <c r="C54" s="1">
        <v>-1</v>
      </c>
      <c r="D54" s="1">
        <v>-0.89</v>
      </c>
      <c r="F54" s="1">
        <v>-0.04</v>
      </c>
      <c r="G54" s="1">
        <v>0.04</v>
      </c>
      <c r="J54" s="1">
        <f t="shared" ca="1" si="15"/>
        <v>-0.96142811301593678</v>
      </c>
      <c r="K54" s="1">
        <f t="shared" ca="1" si="16"/>
        <v>-1.3613612993637263E-2</v>
      </c>
      <c r="L54" s="6"/>
      <c r="M54" s="1">
        <v>-0.94090639714615587</v>
      </c>
      <c r="N54" s="1">
        <v>-3.1286348082421436E-2</v>
      </c>
      <c r="O54" s="6">
        <v>79.661255989147676</v>
      </c>
      <c r="P54" s="1">
        <v>-29.661255989147676</v>
      </c>
      <c r="Q54" s="6"/>
    </row>
    <row r="55" spans="2:17" ht="15" customHeight="1" x14ac:dyDescent="0.3">
      <c r="B55" s="1">
        <v>7</v>
      </c>
      <c r="C55" s="1">
        <v>-0.52</v>
      </c>
      <c r="D55" s="1">
        <v>-0.33</v>
      </c>
      <c r="F55" s="1">
        <v>-0.04</v>
      </c>
      <c r="G55" s="1">
        <v>0.04</v>
      </c>
      <c r="J55" s="1">
        <f t="shared" ca="1" si="15"/>
        <v>-0.36560873361894053</v>
      </c>
      <c r="K55" s="1">
        <f t="shared" ca="1" si="16"/>
        <v>-2.008129928840606E-3</v>
      </c>
      <c r="L55" s="6"/>
      <c r="M55" s="1">
        <v>-0.45623677264983808</v>
      </c>
      <c r="N55" s="1">
        <v>1.6182308184733409E-2</v>
      </c>
      <c r="O55" s="6">
        <v>60.917044682394476</v>
      </c>
      <c r="P55" s="1">
        <v>-10.220625905836735</v>
      </c>
      <c r="Q55" s="6"/>
    </row>
    <row r="56" spans="2:17" ht="15" customHeight="1" x14ac:dyDescent="0.3">
      <c r="B56" s="1">
        <v>8</v>
      </c>
      <c r="C56" s="1">
        <v>-0.08</v>
      </c>
      <c r="D56" s="1">
        <v>0.08</v>
      </c>
      <c r="F56" s="1">
        <v>-0.04</v>
      </c>
      <c r="G56" s="1">
        <v>0.04</v>
      </c>
      <c r="J56" s="1">
        <f t="shared" ca="1" si="15"/>
        <v>-1.2107646110212894E-2</v>
      </c>
      <c r="K56" s="1">
        <f t="shared" ca="1" si="16"/>
        <v>6.5453790218310756E-3</v>
      </c>
      <c r="L56" s="6"/>
      <c r="M56" s="1">
        <v>-7.3795792488353967E-2</v>
      </c>
      <c r="N56" s="1">
        <v>2.4876389969752534E-2</v>
      </c>
      <c r="O56" s="6">
        <v>32.440049268231846</v>
      </c>
      <c r="P56" s="1">
        <v>25.086533369651406</v>
      </c>
      <c r="Q56" s="6"/>
    </row>
    <row r="57" spans="2:17" ht="15" customHeight="1" x14ac:dyDescent="0.3">
      <c r="B57" s="1">
        <v>9</v>
      </c>
      <c r="C57" s="1">
        <v>0.33</v>
      </c>
      <c r="D57" s="1">
        <v>0.52</v>
      </c>
      <c r="F57" s="1">
        <v>-0.04</v>
      </c>
      <c r="G57" s="1">
        <v>0.04</v>
      </c>
      <c r="J57" s="1">
        <f t="shared" ca="1" si="15"/>
        <v>0.36586815946291196</v>
      </c>
      <c r="K57" s="1">
        <f t="shared" ca="1" si="16"/>
        <v>1.6827388943682055E-2</v>
      </c>
      <c r="L57" s="6"/>
      <c r="M57" s="1">
        <v>0.33504713006070796</v>
      </c>
      <c r="N57" s="1">
        <v>-2.8331590437012208E-2</v>
      </c>
      <c r="O57" s="6">
        <v>-40.69294546721293</v>
      </c>
      <c r="P57" s="1">
        <v>60.427217554864413</v>
      </c>
      <c r="Q57" s="6"/>
    </row>
    <row r="58" spans="2:17" ht="15" customHeight="1" x14ac:dyDescent="0.3">
      <c r="B58" s="1">
        <v>10</v>
      </c>
      <c r="C58" s="1">
        <v>0.89</v>
      </c>
      <c r="D58" s="1">
        <v>1</v>
      </c>
      <c r="F58" s="1">
        <v>-0.04</v>
      </c>
      <c r="G58" s="1">
        <v>0.04</v>
      </c>
      <c r="J58" s="1">
        <f t="shared" ca="1" si="15"/>
        <v>0.92680814762947483</v>
      </c>
      <c r="K58" s="1">
        <f t="shared" ca="1" si="16"/>
        <v>2.4001376800105716E-2</v>
      </c>
      <c r="L58" s="6"/>
      <c r="M58" s="1">
        <v>0.92305750837414702</v>
      </c>
      <c r="N58" s="1">
        <v>2.5088820389083964E-2</v>
      </c>
      <c r="O58" s="6">
        <v>-41.142898602388591</v>
      </c>
      <c r="P58" s="1">
        <v>-6.6890313558870833</v>
      </c>
      <c r="Q58" s="6"/>
    </row>
    <row r="59" spans="2:17" ht="15" customHeight="1" x14ac:dyDescent="0.3">
      <c r="B59" s="1">
        <v>11</v>
      </c>
      <c r="C59" s="1">
        <v>-1</v>
      </c>
      <c r="D59" s="1">
        <v>-0.89</v>
      </c>
      <c r="F59" s="1">
        <v>-1</v>
      </c>
      <c r="G59" s="1">
        <v>-0.16</v>
      </c>
      <c r="J59" s="1">
        <f t="shared" ca="1" si="15"/>
        <v>-0.92011332922161915</v>
      </c>
      <c r="K59" s="1">
        <f t="shared" ca="1" si="16"/>
        <v>-0.17180426680898297</v>
      </c>
      <c r="L59" s="6"/>
      <c r="M59" s="1">
        <v>-0.97691928193958588</v>
      </c>
      <c r="N59" s="1">
        <v>-0.6914334468610468</v>
      </c>
      <c r="O59" s="6">
        <v>89.615321365659753</v>
      </c>
      <c r="P59" s="1">
        <v>-39.615321365659767</v>
      </c>
      <c r="Q59" s="6"/>
    </row>
    <row r="60" spans="2:17" ht="15" customHeight="1" x14ac:dyDescent="0.3">
      <c r="B60" s="1">
        <v>12</v>
      </c>
      <c r="C60" s="1">
        <v>-0.52</v>
      </c>
      <c r="D60" s="1">
        <v>-0.33</v>
      </c>
      <c r="F60" s="1">
        <v>-1</v>
      </c>
      <c r="G60" s="1">
        <v>-0.16</v>
      </c>
      <c r="J60" s="1">
        <f t="shared" ca="1" si="15"/>
        <v>-0.44266469652037227</v>
      </c>
      <c r="K60" s="1">
        <f t="shared" ca="1" si="16"/>
        <v>-0.17521314432217983</v>
      </c>
      <c r="L60" s="6"/>
      <c r="M60" s="1">
        <v>-0.42459674007553611</v>
      </c>
      <c r="N60" s="1">
        <v>-0.36844626005052761</v>
      </c>
      <c r="O60" s="6">
        <v>80.409945667925598</v>
      </c>
      <c r="P60" s="1">
        <v>-30.409945667925601</v>
      </c>
      <c r="Q60" s="6"/>
    </row>
    <row r="61" spans="2:17" ht="15" customHeight="1" x14ac:dyDescent="0.3">
      <c r="B61" s="1">
        <v>13</v>
      </c>
      <c r="C61" s="1">
        <v>-0.08</v>
      </c>
      <c r="D61" s="1">
        <v>0.08</v>
      </c>
      <c r="F61" s="1">
        <v>-1</v>
      </c>
      <c r="G61" s="1">
        <v>-0.16</v>
      </c>
      <c r="J61" s="1">
        <f t="shared" ca="1" si="15"/>
        <v>3.265456484121064E-2</v>
      </c>
      <c r="K61" s="1">
        <f t="shared" ca="1" si="16"/>
        <v>-0.25838932248299262</v>
      </c>
      <c r="L61" s="6"/>
      <c r="M61" s="1">
        <v>5.7579164206931946E-2</v>
      </c>
      <c r="N61" s="1">
        <v>-0.77312879538869395</v>
      </c>
      <c r="O61" s="6">
        <v>52.80260447413351</v>
      </c>
      <c r="P61" s="1">
        <v>-1.3631253689602092</v>
      </c>
      <c r="Q61" s="6"/>
    </row>
    <row r="62" spans="2:17" ht="15" customHeight="1" x14ac:dyDescent="0.3">
      <c r="B62" s="1">
        <v>14</v>
      </c>
      <c r="C62" s="1">
        <v>0.33</v>
      </c>
      <c r="D62" s="1">
        <v>0.52</v>
      </c>
      <c r="F62" s="1">
        <v>-1</v>
      </c>
      <c r="G62" s="1">
        <v>-0.16</v>
      </c>
      <c r="J62" s="1">
        <f t="shared" ca="1" si="15"/>
        <v>0.39209825114763663</v>
      </c>
      <c r="K62" s="1">
        <f t="shared" ca="1" si="16"/>
        <v>-0.43204432578377872</v>
      </c>
      <c r="L62" s="6"/>
      <c r="M62" s="1">
        <v>0.34632793452104277</v>
      </c>
      <c r="N62" s="1">
        <v>-0.70779971666195873</v>
      </c>
      <c r="O62" s="6">
        <v>16.709008184869656</v>
      </c>
      <c r="P62" s="1">
        <v>41.949190178156407</v>
      </c>
      <c r="Q62" s="6"/>
    </row>
    <row r="63" spans="2:17" ht="15" customHeight="1" x14ac:dyDescent="0.3">
      <c r="B63" s="1">
        <v>15</v>
      </c>
      <c r="C63" s="1">
        <v>0.89</v>
      </c>
      <c r="D63" s="1">
        <v>1</v>
      </c>
      <c r="F63" s="1">
        <v>-1</v>
      </c>
      <c r="G63" s="1">
        <v>-0.16</v>
      </c>
      <c r="J63" s="1">
        <f t="shared" ca="1" si="15"/>
        <v>0.96779891671505525</v>
      </c>
      <c r="K63" s="1">
        <f t="shared" ca="1" si="16"/>
        <v>-0.26966311429007617</v>
      </c>
      <c r="L63" s="6"/>
      <c r="M63" s="1">
        <v>0.89673424308995864</v>
      </c>
      <c r="N63" s="1">
        <v>-0.53569100485403109</v>
      </c>
      <c r="O63" s="6">
        <v>-23.115616205997242</v>
      </c>
      <c r="P63" s="1">
        <v>-16.231232411994483</v>
      </c>
      <c r="Q63" s="6"/>
    </row>
    <row r="64" spans="2:17" ht="15" customHeight="1" x14ac:dyDescent="0.3">
      <c r="B64" s="1">
        <v>1</v>
      </c>
      <c r="C64" s="1">
        <v>-1</v>
      </c>
      <c r="D64" s="1">
        <v>-0.89</v>
      </c>
      <c r="F64" s="1">
        <v>0.16</v>
      </c>
      <c r="G64" s="1">
        <v>1</v>
      </c>
      <c r="J64" s="1">
        <f ca="1">C64+(RAND()*(D64-C64))</f>
        <v>-0.95684581931058232</v>
      </c>
      <c r="K64" s="1">
        <f ca="1">F64+(RAND()*(G64-F64))</f>
        <v>0.72524945408574348</v>
      </c>
      <c r="L64" s="6"/>
      <c r="M64" s="1">
        <v>-0.96237593723800086</v>
      </c>
      <c r="N64" s="1">
        <v>0.36487035008516588</v>
      </c>
      <c r="O64" s="6">
        <v>59.372932287300017</v>
      </c>
      <c r="P64" s="1">
        <v>-8.7458645746000272</v>
      </c>
      <c r="Q64" s="6"/>
    </row>
    <row r="65" spans="2:17" ht="15" customHeight="1" x14ac:dyDescent="0.3">
      <c r="B65" s="1">
        <v>2</v>
      </c>
      <c r="C65" s="1">
        <v>-0.52</v>
      </c>
      <c r="D65" s="1">
        <v>-0.33</v>
      </c>
      <c r="F65" s="1">
        <v>0.16</v>
      </c>
      <c r="G65" s="1">
        <v>1</v>
      </c>
      <c r="J65" s="1">
        <f t="shared" ref="J65:J78" ca="1" si="17">C65+(RAND()*(D65-C65))</f>
        <v>-0.43621175139419871</v>
      </c>
      <c r="K65" s="1">
        <f t="shared" ref="K65:K78" ca="1" si="18">F65+(RAND()*(G65-F65))</f>
        <v>0.18358556125862951</v>
      </c>
      <c r="L65" s="6"/>
      <c r="M65" s="1">
        <v>-0.34729658530658647</v>
      </c>
      <c r="N65" s="1">
        <v>0.49014115663830349</v>
      </c>
      <c r="O65" s="6">
        <v>42.094487795987966</v>
      </c>
      <c r="P65" s="1">
        <v>16.587926836676694</v>
      </c>
      <c r="Q65" s="6"/>
    </row>
    <row r="66" spans="2:17" ht="15" customHeight="1" x14ac:dyDescent="0.3">
      <c r="B66" s="1">
        <v>3</v>
      </c>
      <c r="C66" s="1">
        <v>-0.08</v>
      </c>
      <c r="D66" s="1">
        <v>0.08</v>
      </c>
      <c r="F66" s="1">
        <v>0.16</v>
      </c>
      <c r="G66" s="1">
        <v>1</v>
      </c>
      <c r="J66" s="1">
        <f t="shared" ca="1" si="17"/>
        <v>3.8907198735979628E-2</v>
      </c>
      <c r="K66" s="1">
        <f t="shared" ca="1" si="18"/>
        <v>0.27196824011535725</v>
      </c>
      <c r="M66" s="1">
        <v>6.5745579574128646E-2</v>
      </c>
      <c r="N66" s="1">
        <v>0.98770580414413256</v>
      </c>
      <c r="O66" s="1">
        <v>-23.149115914825728</v>
      </c>
      <c r="P66" s="1">
        <v>64.930918468059645</v>
      </c>
    </row>
    <row r="67" spans="2:17" ht="15" customHeight="1" x14ac:dyDescent="0.3">
      <c r="B67" s="1">
        <v>4</v>
      </c>
      <c r="C67" s="1">
        <v>0.33</v>
      </c>
      <c r="D67" s="1">
        <v>0.52</v>
      </c>
      <c r="F67" s="1">
        <v>0.16</v>
      </c>
      <c r="G67" s="1">
        <v>1</v>
      </c>
      <c r="J67" s="1">
        <f t="shared" ca="1" si="17"/>
        <v>0.50480476151703257</v>
      </c>
      <c r="K67" s="1">
        <f t="shared" ca="1" si="18"/>
        <v>0.48991244975896719</v>
      </c>
      <c r="M67" s="1">
        <v>0.42207591094411018</v>
      </c>
      <c r="N67" s="1">
        <v>0.4810683501847155</v>
      </c>
      <c r="O67" s="1">
        <v>-87.792408905588985</v>
      </c>
      <c r="P67" s="1">
        <v>85.58481781117797</v>
      </c>
    </row>
    <row r="68" spans="2:17" x14ac:dyDescent="0.3">
      <c r="B68" s="1">
        <v>5</v>
      </c>
      <c r="C68" s="1">
        <v>0.89</v>
      </c>
      <c r="D68" s="1">
        <v>1</v>
      </c>
      <c r="F68" s="1">
        <v>0.16</v>
      </c>
      <c r="G68" s="1">
        <v>1</v>
      </c>
      <c r="J68" s="1">
        <f t="shared" ca="1" si="17"/>
        <v>0.93369136425813148</v>
      </c>
      <c r="K68" s="1">
        <f t="shared" ca="1" si="18"/>
        <v>0.9014421240034487</v>
      </c>
      <c r="M68" s="1">
        <v>0.92979268462147358</v>
      </c>
      <c r="N68" s="1">
        <v>0.94397719425389193</v>
      </c>
      <c r="O68" s="1">
        <v>-37.02073153785264</v>
      </c>
      <c r="P68" s="1">
        <v>-15.958536924294716</v>
      </c>
    </row>
    <row r="69" spans="2:17" x14ac:dyDescent="0.3">
      <c r="B69" s="1">
        <v>6</v>
      </c>
      <c r="C69" s="1">
        <v>-1</v>
      </c>
      <c r="D69" s="1">
        <v>-0.89</v>
      </c>
      <c r="F69" s="1">
        <v>-0.04</v>
      </c>
      <c r="G69" s="1">
        <v>0.04</v>
      </c>
      <c r="J69" s="1">
        <f t="shared" ca="1" si="17"/>
        <v>-0.91477951912945621</v>
      </c>
      <c r="K69" s="1">
        <f t="shared" ca="1" si="18"/>
        <v>7.5990500646540837E-3</v>
      </c>
      <c r="M69" s="1">
        <v>-0.9776435026074628</v>
      </c>
      <c r="N69" s="1">
        <v>2.6914147176189805E-2</v>
      </c>
      <c r="O69" s="1">
        <v>75.761410546549897</v>
      </c>
      <c r="P69" s="1">
        <v>-25.414643883346677</v>
      </c>
    </row>
    <row r="70" spans="2:17" x14ac:dyDescent="0.3">
      <c r="B70" s="1">
        <v>7</v>
      </c>
      <c r="C70" s="1">
        <v>-0.52</v>
      </c>
      <c r="D70" s="1">
        <v>-0.33</v>
      </c>
      <c r="F70" s="1">
        <v>-0.04</v>
      </c>
      <c r="G70" s="1">
        <v>0.04</v>
      </c>
      <c r="J70" s="1">
        <f t="shared" ca="1" si="17"/>
        <v>-0.41909085387545342</v>
      </c>
      <c r="K70" s="1">
        <f t="shared" ca="1" si="18"/>
        <v>1.4116539468206825E-2</v>
      </c>
      <c r="M70" s="1">
        <v>-0.35092290756468353</v>
      </c>
      <c r="N70" s="1">
        <v>-3.9946403432948009E-2</v>
      </c>
      <c r="O70" s="1">
        <v>60.25201708240396</v>
      </c>
      <c r="P70" s="1">
        <v>-9.2668383179605591</v>
      </c>
    </row>
    <row r="71" spans="2:17" x14ac:dyDescent="0.3">
      <c r="B71" s="1">
        <v>8</v>
      </c>
      <c r="C71" s="1">
        <v>-0.08</v>
      </c>
      <c r="D71" s="1">
        <v>0.08</v>
      </c>
      <c r="F71" s="1">
        <v>-0.04</v>
      </c>
      <c r="G71" s="1">
        <v>0.04</v>
      </c>
      <c r="J71" s="1">
        <f t="shared" ca="1" si="17"/>
        <v>5.7007016901663668E-2</v>
      </c>
      <c r="K71" s="1">
        <f t="shared" ca="1" si="18"/>
        <v>-3.5483152489484839E-2</v>
      </c>
      <c r="M71" s="1">
        <v>7.9015077562869795E-3</v>
      </c>
      <c r="N71" s="1">
        <v>-8.105208496307921E-3</v>
      </c>
      <c r="O71" s="1">
        <v>28.699183319120312</v>
      </c>
      <c r="P71" s="1">
        <v>29.770778149246819</v>
      </c>
    </row>
    <row r="72" spans="2:17" x14ac:dyDescent="0.3">
      <c r="B72" s="1">
        <v>9</v>
      </c>
      <c r="C72" s="1">
        <v>0.33</v>
      </c>
      <c r="D72" s="1">
        <v>0.52</v>
      </c>
      <c r="F72" s="1">
        <v>-0.04</v>
      </c>
      <c r="G72" s="1">
        <v>0.04</v>
      </c>
      <c r="J72" s="1">
        <f t="shared" ca="1" si="17"/>
        <v>0.51218261879872506</v>
      </c>
      <c r="K72" s="1">
        <f t="shared" ca="1" si="18"/>
        <v>-3.5886271643353958E-2</v>
      </c>
      <c r="M72" s="1">
        <v>0.46541762540067266</v>
      </c>
      <c r="N72" s="1">
        <v>3.7736426503795405E-2</v>
      </c>
      <c r="O72" s="1">
        <v>-72.597962756966353</v>
      </c>
      <c r="P72" s="1">
        <v>61.856670462330548</v>
      </c>
    </row>
    <row r="73" spans="2:17" x14ac:dyDescent="0.3">
      <c r="B73" s="1">
        <v>10</v>
      </c>
      <c r="C73" s="1">
        <v>0.89</v>
      </c>
      <c r="D73" s="1">
        <v>1</v>
      </c>
      <c r="F73" s="1">
        <v>-0.04</v>
      </c>
      <c r="G73" s="1">
        <v>0.04</v>
      </c>
      <c r="J73" s="1">
        <f t="shared" ca="1" si="17"/>
        <v>0.91262553095301613</v>
      </c>
      <c r="K73" s="1">
        <f t="shared" ca="1" si="18"/>
        <v>-1.8719087502054706E-2</v>
      </c>
      <c r="M73" s="1">
        <v>0.89291126798514198</v>
      </c>
      <c r="N73" s="1">
        <v>2.8127537406123025E-2</v>
      </c>
      <c r="O73" s="1">
        <v>-43.550812397214905</v>
      </c>
      <c r="P73" s="1">
        <v>-1.5053786363858959</v>
      </c>
    </row>
    <row r="74" spans="2:17" x14ac:dyDescent="0.3">
      <c r="B74" s="1">
        <v>11</v>
      </c>
      <c r="C74" s="1">
        <v>-1</v>
      </c>
      <c r="D74" s="1">
        <v>-0.89</v>
      </c>
      <c r="F74" s="1">
        <v>-1</v>
      </c>
      <c r="G74" s="1">
        <v>-0.16</v>
      </c>
      <c r="J74" s="1">
        <f t="shared" ca="1" si="17"/>
        <v>-0.8968634806704251</v>
      </c>
      <c r="K74" s="1">
        <f t="shared" ca="1" si="18"/>
        <v>-0.73722816423373383</v>
      </c>
      <c r="M74" s="1">
        <v>-0.96486363659872776</v>
      </c>
      <c r="N74" s="1">
        <v>-0.6694782243071894</v>
      </c>
      <c r="O74" s="1">
        <v>89.414393943312135</v>
      </c>
      <c r="P74" s="1">
        <v>-39.414393943312128</v>
      </c>
    </row>
    <row r="75" spans="2:17" x14ac:dyDescent="0.3">
      <c r="B75" s="1">
        <v>12</v>
      </c>
      <c r="C75" s="1">
        <v>-0.52</v>
      </c>
      <c r="D75" s="1">
        <v>-0.33</v>
      </c>
      <c r="F75" s="1">
        <v>-1</v>
      </c>
      <c r="G75" s="1">
        <v>-0.16</v>
      </c>
      <c r="J75" s="1">
        <f t="shared" ca="1" si="17"/>
        <v>-0.48060300888395086</v>
      </c>
      <c r="K75" s="1">
        <f t="shared" ca="1" si="18"/>
        <v>-0.74229983252302612</v>
      </c>
      <c r="M75" s="1">
        <v>-0.47762791390671133</v>
      </c>
      <c r="N75" s="1">
        <v>-0.28007307749108556</v>
      </c>
      <c r="O75" s="1">
        <v>81.293798565111857</v>
      </c>
      <c r="P75" s="1">
        <v>-31.293798565111857</v>
      </c>
    </row>
    <row r="76" spans="2:17" x14ac:dyDescent="0.3">
      <c r="B76" s="1">
        <v>13</v>
      </c>
      <c r="C76" s="1">
        <v>-0.08</v>
      </c>
      <c r="D76" s="1">
        <v>0.08</v>
      </c>
      <c r="F76" s="1">
        <v>-1</v>
      </c>
      <c r="G76" s="1">
        <v>-0.16</v>
      </c>
      <c r="J76" s="1">
        <f t="shared" ca="1" si="17"/>
        <v>6.3588951733912338E-2</v>
      </c>
      <c r="K76" s="1">
        <f t="shared" ca="1" si="18"/>
        <v>-0.77918830814576567</v>
      </c>
      <c r="M76" s="1">
        <v>-9.7884094508268599E-3</v>
      </c>
      <c r="N76" s="1">
        <v>-0.54130806199052306</v>
      </c>
      <c r="O76" s="1">
        <v>60.489420472541347</v>
      </c>
      <c r="P76" s="1">
        <v>-10.489420472541344</v>
      </c>
    </row>
    <row r="77" spans="2:17" x14ac:dyDescent="0.3">
      <c r="B77" s="1">
        <v>14</v>
      </c>
      <c r="C77" s="1">
        <v>0.33</v>
      </c>
      <c r="D77" s="1">
        <v>0.52</v>
      </c>
      <c r="F77" s="1">
        <v>-1</v>
      </c>
      <c r="G77" s="1">
        <v>-0.16</v>
      </c>
      <c r="J77" s="1">
        <f t="shared" ca="1" si="17"/>
        <v>0.49629333654782248</v>
      </c>
      <c r="K77" s="1">
        <f t="shared" ca="1" si="18"/>
        <v>-0.6121166397812059</v>
      </c>
      <c r="M77" s="1">
        <v>0.46066316840760746</v>
      </c>
      <c r="N77" s="1">
        <v>-0.67087751072922486</v>
      </c>
      <c r="O77" s="1">
        <v>5.9557887728261694</v>
      </c>
      <c r="P77" s="1">
        <v>41.911577545652335</v>
      </c>
    </row>
    <row r="78" spans="2:17" x14ac:dyDescent="0.3">
      <c r="B78" s="1">
        <v>15</v>
      </c>
      <c r="C78" s="1">
        <v>0.89</v>
      </c>
      <c r="D78" s="1">
        <v>1</v>
      </c>
      <c r="F78" s="1">
        <v>-1</v>
      </c>
      <c r="G78" s="1">
        <v>-0.16</v>
      </c>
      <c r="J78" s="1">
        <f t="shared" ca="1" si="17"/>
        <v>0.90589059969519048</v>
      </c>
      <c r="K78" s="1">
        <f t="shared" ca="1" si="18"/>
        <v>-0.54890357579885363</v>
      </c>
      <c r="M78" s="1">
        <v>0.92665212743508762</v>
      </c>
      <c r="N78" s="1">
        <v>-0.97776892664207615</v>
      </c>
      <c r="O78" s="1">
        <v>-25.110141829005844</v>
      </c>
      <c r="P78" s="1">
        <v>-20.220283658011684</v>
      </c>
    </row>
    <row r="79" spans="2:17" x14ac:dyDescent="0.3">
      <c r="B79" s="1">
        <v>1</v>
      </c>
      <c r="C79" s="1">
        <v>-1</v>
      </c>
      <c r="D79" s="1">
        <v>-0.89</v>
      </c>
      <c r="F79" s="1">
        <v>0.16</v>
      </c>
      <c r="G79" s="1">
        <v>1</v>
      </c>
      <c r="J79" s="1">
        <f ca="1">C79+(RAND()*(D79-C79))</f>
        <v>-0.95818243795549152</v>
      </c>
      <c r="K79" s="1">
        <f ca="1">F79+(RAND()*(G79-F79))</f>
        <v>0.95553114414290452</v>
      </c>
      <c r="M79" s="1">
        <v>-0.99816593360883743</v>
      </c>
      <c r="N79" s="1">
        <v>0.81567256606868244</v>
      </c>
      <c r="O79" s="1">
        <v>59.969432226813957</v>
      </c>
      <c r="P79" s="1">
        <v>-9.9388644536279145</v>
      </c>
    </row>
    <row r="80" spans="2:17" x14ac:dyDescent="0.3">
      <c r="B80" s="1">
        <v>2</v>
      </c>
      <c r="C80" s="1">
        <v>-0.52</v>
      </c>
      <c r="D80" s="1">
        <v>-0.33</v>
      </c>
      <c r="F80" s="1">
        <v>0.16</v>
      </c>
      <c r="G80" s="1">
        <v>1</v>
      </c>
      <c r="J80" s="1">
        <f t="shared" ref="J80:J93" ca="1" si="19">C80+(RAND()*(D80-C80))</f>
        <v>-0.49894393625864314</v>
      </c>
      <c r="K80" s="1">
        <f t="shared" ref="K80:K93" ca="1" si="20">F80+(RAND()*(G80-F80))</f>
        <v>0.59435890813841652</v>
      </c>
      <c r="M80" s="1">
        <v>-0.4615711750688507</v>
      </c>
      <c r="N80" s="1">
        <v>0.26272490369431134</v>
      </c>
      <c r="O80" s="1">
        <v>51.026186251147507</v>
      </c>
      <c r="P80" s="1">
        <v>7.9476274977049775</v>
      </c>
    </row>
    <row r="81" spans="2:16" x14ac:dyDescent="0.3">
      <c r="B81" s="1">
        <v>3</v>
      </c>
      <c r="C81" s="1">
        <v>-0.08</v>
      </c>
      <c r="D81" s="1">
        <v>0.08</v>
      </c>
      <c r="F81" s="1">
        <v>0.16</v>
      </c>
      <c r="G81" s="1">
        <v>1</v>
      </c>
      <c r="J81" s="1">
        <f t="shared" ca="1" si="19"/>
        <v>-9.4613857142229058E-3</v>
      </c>
      <c r="K81" s="1">
        <f t="shared" ca="1" si="20"/>
        <v>0.40865561952893781</v>
      </c>
      <c r="M81" s="1">
        <v>-7.5504700267758254E-2</v>
      </c>
      <c r="N81" s="1">
        <v>0.2405133114566981</v>
      </c>
      <c r="O81" s="1">
        <v>1.3257050401637382</v>
      </c>
      <c r="P81" s="1">
        <v>50.561912466530224</v>
      </c>
    </row>
    <row r="82" spans="2:16" x14ac:dyDescent="0.3">
      <c r="B82" s="1">
        <v>4</v>
      </c>
      <c r="C82" s="1">
        <v>0.33</v>
      </c>
      <c r="D82" s="1">
        <v>0.52</v>
      </c>
      <c r="F82" s="1">
        <v>0.16</v>
      </c>
      <c r="G82" s="1">
        <v>1</v>
      </c>
      <c r="J82" s="1">
        <f t="shared" ca="1" si="19"/>
        <v>0.50696048772603808</v>
      </c>
      <c r="K82" s="1">
        <f t="shared" ca="1" si="20"/>
        <v>0.86474851135670894</v>
      </c>
      <c r="M82" s="1">
        <v>0.45306545444574542</v>
      </c>
      <c r="N82" s="1">
        <v>0.22381427200421219</v>
      </c>
      <c r="O82" s="1">
        <v>-84.693454555425461</v>
      </c>
      <c r="P82" s="1">
        <v>79.386909110850922</v>
      </c>
    </row>
    <row r="83" spans="2:16" x14ac:dyDescent="0.3">
      <c r="B83" s="1">
        <v>5</v>
      </c>
      <c r="C83" s="1">
        <v>0.89</v>
      </c>
      <c r="D83" s="1">
        <v>1</v>
      </c>
      <c r="F83" s="1">
        <v>0.16</v>
      </c>
      <c r="G83" s="1">
        <v>1</v>
      </c>
      <c r="J83" s="1">
        <f t="shared" ca="1" si="19"/>
        <v>0.99351599942474944</v>
      </c>
      <c r="K83" s="1">
        <f t="shared" ca="1" si="20"/>
        <v>0.37625551683723735</v>
      </c>
      <c r="M83" s="1">
        <v>0.90546361099806039</v>
      </c>
      <c r="N83" s="1">
        <v>0.77398552049849023</v>
      </c>
      <c r="O83" s="1">
        <v>-39.453638900193965</v>
      </c>
      <c r="P83" s="1">
        <v>-11.092722199612078</v>
      </c>
    </row>
    <row r="84" spans="2:16" x14ac:dyDescent="0.3">
      <c r="B84" s="1">
        <v>6</v>
      </c>
      <c r="C84" s="1">
        <v>-1</v>
      </c>
      <c r="D84" s="1">
        <v>-0.89</v>
      </c>
      <c r="F84" s="1">
        <v>-0.04</v>
      </c>
      <c r="G84" s="1">
        <v>0.04</v>
      </c>
      <c r="J84" s="1">
        <f t="shared" ca="1" si="19"/>
        <v>-0.94704674555946111</v>
      </c>
      <c r="K84" s="1">
        <f t="shared" ca="1" si="20"/>
        <v>-2.5800256638863397E-2</v>
      </c>
      <c r="M84" s="1">
        <v>-0.99442230058062786</v>
      </c>
      <c r="N84" s="1">
        <v>1.4832286743941908E-2</v>
      </c>
      <c r="O84" s="1">
        <v>78.087520493435861</v>
      </c>
      <c r="P84" s="1">
        <v>-27.996255662429384</v>
      </c>
    </row>
    <row r="85" spans="2:16" x14ac:dyDescent="0.3">
      <c r="B85" s="1">
        <v>7</v>
      </c>
      <c r="C85" s="1">
        <v>-0.52</v>
      </c>
      <c r="D85" s="1">
        <v>-0.33</v>
      </c>
      <c r="F85" s="1">
        <v>-0.04</v>
      </c>
      <c r="G85" s="1">
        <v>0.04</v>
      </c>
      <c r="J85" s="1">
        <f t="shared" ca="1" si="19"/>
        <v>-0.46399065182546367</v>
      </c>
      <c r="K85" s="1">
        <f t="shared" ca="1" si="20"/>
        <v>-2.9566219337896722E-2</v>
      </c>
      <c r="M85" s="1">
        <v>-0.46295595945954909</v>
      </c>
      <c r="N85" s="1">
        <v>5.8575978424991529E-3</v>
      </c>
      <c r="O85" s="1">
        <v>61.705736883002544</v>
      </c>
      <c r="P85" s="1">
        <v>-11.4290634102484</v>
      </c>
    </row>
    <row r="86" spans="2:16" x14ac:dyDescent="0.3">
      <c r="B86" s="1">
        <v>8</v>
      </c>
      <c r="C86" s="1">
        <v>-0.08</v>
      </c>
      <c r="D86" s="1">
        <v>0.08</v>
      </c>
      <c r="F86" s="1">
        <v>-0.04</v>
      </c>
      <c r="G86" s="1">
        <v>0.04</v>
      </c>
      <c r="J86" s="1">
        <f t="shared" ca="1" si="19"/>
        <v>2.9498432490983204E-2</v>
      </c>
      <c r="K86" s="1">
        <f t="shared" ca="1" si="20"/>
        <v>-2.9727590145513547E-2</v>
      </c>
      <c r="M86" s="1">
        <v>-4.0867728421379805E-2</v>
      </c>
      <c r="N86" s="1">
        <v>6.2443545162700759E-3</v>
      </c>
      <c r="O86" s="1">
        <v>32.297198934558651</v>
      </c>
      <c r="P86" s="1">
        <v>26.447288767944414</v>
      </c>
    </row>
    <row r="87" spans="2:16" s="12" customFormat="1" x14ac:dyDescent="0.3">
      <c r="B87" s="12">
        <v>9</v>
      </c>
      <c r="C87" s="12">
        <v>0.33</v>
      </c>
      <c r="D87" s="12">
        <v>0.52</v>
      </c>
      <c r="F87" s="12">
        <v>-0.04</v>
      </c>
      <c r="G87" s="12">
        <v>0.04</v>
      </c>
      <c r="J87" s="12">
        <f t="shared" ca="1" si="19"/>
        <v>0.46192082431700998</v>
      </c>
      <c r="K87" s="12">
        <f t="shared" ca="1" si="20"/>
        <v>8.1063517084051448E-3</v>
      </c>
      <c r="M87" s="12">
        <v>0.46890180014028199</v>
      </c>
      <c r="N87" s="12">
        <v>-3.0901153633519994E-2</v>
      </c>
      <c r="O87" s="12">
        <v>-59.352917918419294</v>
      </c>
      <c r="P87" s="12">
        <v>55.685263868247667</v>
      </c>
    </row>
    <row r="88" spans="2:16" x14ac:dyDescent="0.3">
      <c r="B88" s="1">
        <v>10</v>
      </c>
      <c r="C88" s="1">
        <v>0.89</v>
      </c>
      <c r="D88" s="1">
        <v>1</v>
      </c>
      <c r="F88" s="1">
        <v>-0.04</v>
      </c>
      <c r="G88" s="1">
        <v>0.04</v>
      </c>
      <c r="J88" s="1">
        <f t="shared" ca="1" si="19"/>
        <v>0.92141083391552481</v>
      </c>
      <c r="K88" s="1">
        <f t="shared" ca="1" si="20"/>
        <v>-2.2910578868211271E-2</v>
      </c>
      <c r="M88" s="1">
        <v>0.92723461507669891</v>
      </c>
      <c r="N88" s="1">
        <v>-2.2514307972144092E-2</v>
      </c>
      <c r="O88" s="1">
        <v>-31.274071990732576</v>
      </c>
      <c r="P88" s="1">
        <v>-11.760461999907557</v>
      </c>
    </row>
    <row r="89" spans="2:16" x14ac:dyDescent="0.3">
      <c r="B89" s="1">
        <v>11</v>
      </c>
      <c r="C89" s="1">
        <v>-1</v>
      </c>
      <c r="D89" s="1">
        <v>-0.89</v>
      </c>
      <c r="F89" s="1">
        <v>-1</v>
      </c>
      <c r="G89" s="1">
        <v>-0.16</v>
      </c>
      <c r="J89" s="1">
        <f t="shared" ca="1" si="19"/>
        <v>-0.96947878190800796</v>
      </c>
      <c r="K89" s="1">
        <f t="shared" ca="1" si="20"/>
        <v>-0.27580259906205684</v>
      </c>
      <c r="M89" s="1">
        <v>-0.96660975150004624</v>
      </c>
      <c r="N89" s="1">
        <v>-0.63765489591921831</v>
      </c>
      <c r="O89" s="1">
        <v>89.443495858334103</v>
      </c>
      <c r="P89" s="1">
        <v>-39.44349585833411</v>
      </c>
    </row>
    <row r="90" spans="2:16" x14ac:dyDescent="0.3">
      <c r="B90" s="1">
        <v>12</v>
      </c>
      <c r="C90" s="1">
        <v>-0.52</v>
      </c>
      <c r="D90" s="1">
        <v>-0.33</v>
      </c>
      <c r="F90" s="1">
        <v>-1</v>
      </c>
      <c r="G90" s="1">
        <v>-0.16</v>
      </c>
      <c r="J90" s="1">
        <f t="shared" ca="1" si="19"/>
        <v>-0.46966350689804193</v>
      </c>
      <c r="K90" s="1">
        <f t="shared" ca="1" si="20"/>
        <v>-0.3082551126609282</v>
      </c>
      <c r="M90" s="1">
        <v>-0.3902104601474804</v>
      </c>
      <c r="N90" s="1">
        <v>-0.62583327531341948</v>
      </c>
      <c r="O90" s="1">
        <v>79.510523007374019</v>
      </c>
      <c r="P90" s="1">
        <v>-29.510523007374019</v>
      </c>
    </row>
    <row r="91" spans="2:16" x14ac:dyDescent="0.3">
      <c r="B91" s="1">
        <v>13</v>
      </c>
      <c r="C91" s="1">
        <v>-0.08</v>
      </c>
      <c r="D91" s="1">
        <v>0.08</v>
      </c>
      <c r="F91" s="1">
        <v>-1</v>
      </c>
      <c r="G91" s="1">
        <v>-0.16</v>
      </c>
      <c r="J91" s="1">
        <f t="shared" ca="1" si="19"/>
        <v>-1.8627313873926639E-2</v>
      </c>
      <c r="K91" s="1">
        <f t="shared" ca="1" si="20"/>
        <v>-0.62071738946836852</v>
      </c>
      <c r="M91" s="1">
        <v>3.5815084414660817E-2</v>
      </c>
      <c r="N91" s="1">
        <v>-0.22880255909719893</v>
      </c>
      <c r="O91" s="1">
        <v>55.523114448167398</v>
      </c>
      <c r="P91" s="1">
        <v>-4.6277373378008786</v>
      </c>
    </row>
    <row r="92" spans="2:16" x14ac:dyDescent="0.3">
      <c r="B92" s="1">
        <v>14</v>
      </c>
      <c r="C92" s="1">
        <v>0.33</v>
      </c>
      <c r="D92" s="1">
        <v>0.52</v>
      </c>
      <c r="F92" s="1">
        <v>-1</v>
      </c>
      <c r="G92" s="1">
        <v>-0.16</v>
      </c>
      <c r="J92" s="1">
        <f t="shared" ca="1" si="19"/>
        <v>0.49223433774870429</v>
      </c>
      <c r="K92" s="1">
        <f t="shared" ca="1" si="20"/>
        <v>-0.86232734653632437</v>
      </c>
      <c r="M92" s="1">
        <v>0.40266734790447678</v>
      </c>
      <c r="N92" s="1">
        <v>-0.27050418297729906</v>
      </c>
      <c r="O92" s="1">
        <v>9.8221768063682156</v>
      </c>
      <c r="P92" s="1">
        <v>49.644353612736431</v>
      </c>
    </row>
    <row r="93" spans="2:16" x14ac:dyDescent="0.3">
      <c r="B93" s="1">
        <v>15</v>
      </c>
      <c r="C93" s="1">
        <v>0.89</v>
      </c>
      <c r="D93" s="1">
        <v>1</v>
      </c>
      <c r="F93" s="1">
        <v>-1</v>
      </c>
      <c r="G93" s="1">
        <v>-0.16</v>
      </c>
      <c r="J93" s="1">
        <f t="shared" ca="1" si="19"/>
        <v>0.89227023232215563</v>
      </c>
      <c r="K93" s="1">
        <f t="shared" ca="1" si="20"/>
        <v>-0.50163626167947384</v>
      </c>
      <c r="M93" s="1">
        <v>0.99498630938754207</v>
      </c>
      <c r="N93" s="1">
        <v>-0.89770030324556871</v>
      </c>
      <c r="O93" s="1">
        <v>-29.665753959169468</v>
      </c>
      <c r="P93" s="1">
        <v>-29.331507918338939</v>
      </c>
    </row>
    <row r="94" spans="2:16" x14ac:dyDescent="0.3">
      <c r="B94" s="1">
        <v>1</v>
      </c>
      <c r="C94" s="1">
        <v>-1</v>
      </c>
      <c r="D94" s="1">
        <v>-0.89</v>
      </c>
      <c r="F94" s="1">
        <v>0.16</v>
      </c>
      <c r="G94" s="1">
        <v>1</v>
      </c>
      <c r="J94" s="1">
        <f ca="1">C94+(RAND()*(D94-C94))</f>
        <v>-0.95174998665749477</v>
      </c>
      <c r="K94" s="1">
        <f ca="1">F94+(RAND()*(G94-F94))</f>
        <v>0.26105994041073688</v>
      </c>
      <c r="M94" s="1">
        <v>-0.95519576292304564</v>
      </c>
      <c r="N94" s="1">
        <v>0.29493885487131732</v>
      </c>
      <c r="O94" s="1">
        <v>59.253262715384096</v>
      </c>
      <c r="P94" s="1">
        <v>-8.506525430768189</v>
      </c>
    </row>
    <row r="95" spans="2:16" x14ac:dyDescent="0.3">
      <c r="B95" s="1">
        <v>2</v>
      </c>
      <c r="C95" s="1">
        <v>-0.52</v>
      </c>
      <c r="D95" s="1">
        <v>-0.33</v>
      </c>
      <c r="F95" s="1">
        <v>0.16</v>
      </c>
      <c r="G95" s="1">
        <v>1</v>
      </c>
      <c r="J95" s="1">
        <f t="shared" ref="J95:J108" ca="1" si="21">C95+(RAND()*(D95-C95))</f>
        <v>-0.48845744554907683</v>
      </c>
      <c r="K95" s="1">
        <f t="shared" ref="K95:K108" ca="1" si="22">F95+(RAND()*(G95-F95))</f>
        <v>0.90639093721937136</v>
      </c>
      <c r="M95" s="1">
        <v>-0.34700350441514505</v>
      </c>
      <c r="N95" s="1">
        <v>0.53991518164120111</v>
      </c>
      <c r="O95" s="1">
        <v>42.050525662271752</v>
      </c>
      <c r="P95" s="1">
        <v>16.624561948106873</v>
      </c>
    </row>
    <row r="96" spans="2:16" x14ac:dyDescent="0.3">
      <c r="B96" s="1">
        <v>3</v>
      </c>
      <c r="C96" s="1">
        <v>-0.08</v>
      </c>
      <c r="D96" s="1">
        <v>0.08</v>
      </c>
      <c r="F96" s="1">
        <v>0.16</v>
      </c>
      <c r="G96" s="1">
        <v>1</v>
      </c>
      <c r="J96" s="1">
        <f t="shared" ca="1" si="21"/>
        <v>-3.2836896680774393E-2</v>
      </c>
      <c r="K96" s="1">
        <f t="shared" ca="1" si="22"/>
        <v>0.22666113434084656</v>
      </c>
      <c r="M96" s="1">
        <v>-1.1246419237186375E-2</v>
      </c>
      <c r="N96" s="1">
        <v>0.43601646038030617</v>
      </c>
      <c r="O96" s="1">
        <v>-8.313037114422043</v>
      </c>
      <c r="P96" s="1">
        <v>58.594197595351702</v>
      </c>
    </row>
    <row r="97" spans="2:17" x14ac:dyDescent="0.3">
      <c r="B97" s="1">
        <v>4</v>
      </c>
      <c r="C97" s="1">
        <v>0.33</v>
      </c>
      <c r="D97" s="1">
        <v>0.52</v>
      </c>
      <c r="F97" s="1">
        <v>0.16</v>
      </c>
      <c r="G97" s="1">
        <v>1</v>
      </c>
      <c r="J97" s="1">
        <f t="shared" ca="1" si="21"/>
        <v>0.35072442595749459</v>
      </c>
      <c r="K97" s="1">
        <f t="shared" ca="1" si="22"/>
        <v>0.36775953743062806</v>
      </c>
      <c r="M97" s="1">
        <v>0.40442787735599944</v>
      </c>
      <c r="N97" s="1">
        <v>0.83180053050470193</v>
      </c>
      <c r="O97" s="1">
        <v>-89.557212264400064</v>
      </c>
      <c r="P97" s="1">
        <v>89.114424528800114</v>
      </c>
    </row>
    <row r="98" spans="2:17" x14ac:dyDescent="0.3">
      <c r="B98" s="1">
        <v>5</v>
      </c>
      <c r="C98" s="1">
        <v>0.89</v>
      </c>
      <c r="D98" s="1">
        <v>1</v>
      </c>
      <c r="F98" s="1">
        <v>0.16</v>
      </c>
      <c r="G98" s="1">
        <v>1</v>
      </c>
      <c r="J98" s="1">
        <f t="shared" ca="1" si="21"/>
        <v>0.95706841919744756</v>
      </c>
      <c r="K98" s="1">
        <f t="shared" ca="1" si="22"/>
        <v>0.41121259718566394</v>
      </c>
      <c r="M98" s="1">
        <v>0.96380188880795736</v>
      </c>
      <c r="N98" s="1">
        <v>0.8991573572350412</v>
      </c>
      <c r="O98" s="1">
        <v>-33.619811119204265</v>
      </c>
      <c r="P98" s="1">
        <v>-22.760377761591471</v>
      </c>
    </row>
    <row r="99" spans="2:17" x14ac:dyDescent="0.3">
      <c r="B99" s="1">
        <v>6</v>
      </c>
      <c r="C99" s="1">
        <v>-1</v>
      </c>
      <c r="D99" s="1">
        <v>-0.89</v>
      </c>
      <c r="F99" s="1">
        <v>-0.04</v>
      </c>
      <c r="G99" s="1">
        <v>0.04</v>
      </c>
      <c r="J99" s="1">
        <f t="shared" ca="1" si="21"/>
        <v>-0.99728608210583714</v>
      </c>
      <c r="K99" s="1">
        <f t="shared" ca="1" si="22"/>
        <v>-3.0313287217147541E-2</v>
      </c>
      <c r="M99" s="1">
        <v>-0.90190211197488901</v>
      </c>
      <c r="N99" s="1">
        <v>-1.3865397345493777E-2</v>
      </c>
      <c r="O99" s="1">
        <v>77.737100301205501</v>
      </c>
      <c r="P99" s="1">
        <v>-27.737100301205498</v>
      </c>
    </row>
    <row r="100" spans="2:17" x14ac:dyDescent="0.3">
      <c r="B100" s="1">
        <v>7</v>
      </c>
      <c r="C100" s="1">
        <v>-0.52</v>
      </c>
      <c r="D100" s="1">
        <v>-0.33</v>
      </c>
      <c r="F100" s="1">
        <v>-0.04</v>
      </c>
      <c r="G100" s="1">
        <v>0.04</v>
      </c>
      <c r="J100" s="1">
        <f t="shared" ca="1" si="21"/>
        <v>-0.33601968646039337</v>
      </c>
      <c r="K100" s="1">
        <f t="shared" ca="1" si="22"/>
        <v>-3.124252365149862E-2</v>
      </c>
      <c r="M100" s="1">
        <v>-0.47739776976220133</v>
      </c>
      <c r="N100" s="1">
        <v>2.2524856285380639E-2</v>
      </c>
      <c r="O100" s="1">
        <v>61.186439134509286</v>
      </c>
      <c r="P100" s="1">
        <v>-10.267243757821122</v>
      </c>
    </row>
    <row r="101" spans="2:17" x14ac:dyDescent="0.3">
      <c r="B101" s="1">
        <v>8</v>
      </c>
      <c r="C101" s="1">
        <v>-0.08</v>
      </c>
      <c r="D101" s="1">
        <v>0.08</v>
      </c>
      <c r="F101" s="1">
        <v>-0.04</v>
      </c>
      <c r="G101" s="1">
        <v>0.04</v>
      </c>
      <c r="J101" s="1">
        <f t="shared" ca="1" si="21"/>
        <v>-6.801544876345357E-2</v>
      </c>
      <c r="K101" s="1">
        <f t="shared" ca="1" si="22"/>
        <v>-5.5534915727785059E-3</v>
      </c>
      <c r="M101" s="1">
        <v>-6.2114991454333295E-2</v>
      </c>
      <c r="N101" s="1">
        <v>7.1577004187147256E-3</v>
      </c>
      <c r="O101" s="1">
        <v>33.679487616659337</v>
      </c>
      <c r="P101" s="1">
        <v>24.537383592943094</v>
      </c>
    </row>
    <row r="102" spans="2:17" x14ac:dyDescent="0.3">
      <c r="B102" s="1">
        <v>9</v>
      </c>
      <c r="C102" s="1">
        <v>0.33</v>
      </c>
      <c r="D102" s="1">
        <v>0.52</v>
      </c>
      <c r="F102" s="1">
        <v>-0.04</v>
      </c>
      <c r="G102" s="1">
        <v>0.04</v>
      </c>
      <c r="J102" s="1">
        <f t="shared" ca="1" si="21"/>
        <v>0.34523516360991402</v>
      </c>
      <c r="K102" s="1">
        <f t="shared" ca="1" si="22"/>
        <v>-2.8457605260660036E-2</v>
      </c>
      <c r="M102" s="1">
        <v>0.37782183035919514</v>
      </c>
      <c r="N102" s="1">
        <v>-3.546417244905771E-2</v>
      </c>
      <c r="O102" s="1">
        <v>-53.156468364295804</v>
      </c>
      <c r="P102" s="1">
        <v>68.223878824107715</v>
      </c>
    </row>
    <row r="103" spans="2:17" x14ac:dyDescent="0.3">
      <c r="B103" s="1">
        <v>10</v>
      </c>
      <c r="C103" s="1">
        <v>0.89</v>
      </c>
      <c r="D103" s="1">
        <v>1</v>
      </c>
      <c r="F103" s="1">
        <v>-0.04</v>
      </c>
      <c r="G103" s="1">
        <v>0.04</v>
      </c>
      <c r="J103" s="1">
        <f t="shared" ca="1" si="21"/>
        <v>0.96510606403768762</v>
      </c>
      <c r="K103" s="1">
        <f t="shared" ca="1" si="22"/>
        <v>-2.212380752093342E-2</v>
      </c>
      <c r="M103" s="1">
        <v>0.90794095797901964</v>
      </c>
      <c r="N103" s="1">
        <v>3.5640476066694841E-2</v>
      </c>
      <c r="O103" s="1">
        <v>-42.914502073600872</v>
      </c>
      <c r="P103" s="1">
        <v>-2.996950209743638</v>
      </c>
    </row>
    <row r="104" spans="2:17" x14ac:dyDescent="0.3">
      <c r="B104" s="1">
        <v>11</v>
      </c>
      <c r="C104" s="1">
        <v>-1</v>
      </c>
      <c r="D104" s="1">
        <v>-0.89</v>
      </c>
      <c r="F104" s="1">
        <v>-1</v>
      </c>
      <c r="G104" s="1">
        <v>-0.16</v>
      </c>
      <c r="J104" s="1">
        <f t="shared" ca="1" si="21"/>
        <v>-0.9592888743727539</v>
      </c>
      <c r="K104" s="1">
        <f t="shared" ca="1" si="22"/>
        <v>-0.3467419111366179</v>
      </c>
      <c r="M104" s="1">
        <v>-0.94321524619654595</v>
      </c>
      <c r="N104" s="1">
        <v>-0.94685616695855079</v>
      </c>
      <c r="O104" s="1">
        <v>89.053587436609106</v>
      </c>
      <c r="P104" s="1">
        <v>-39.053587436609099</v>
      </c>
    </row>
    <row r="105" spans="2:17" x14ac:dyDescent="0.3">
      <c r="B105" s="1">
        <v>12</v>
      </c>
      <c r="C105" s="1">
        <v>-0.52</v>
      </c>
      <c r="D105" s="1">
        <v>-0.33</v>
      </c>
      <c r="F105" s="1">
        <v>-1</v>
      </c>
      <c r="G105" s="1">
        <v>-0.16</v>
      </c>
      <c r="J105" s="1">
        <f t="shared" ca="1" si="21"/>
        <v>-0.45840640412229305</v>
      </c>
      <c r="K105" s="1">
        <f t="shared" ca="1" si="22"/>
        <v>-0.6494482451947734</v>
      </c>
      <c r="M105" s="1">
        <v>-0.48847363580253128</v>
      </c>
      <c r="N105" s="1">
        <v>-0.24885537561921256</v>
      </c>
      <c r="O105" s="1">
        <v>81.474560596708869</v>
      </c>
      <c r="P105" s="1">
        <v>-31.474560596708855</v>
      </c>
    </row>
    <row r="106" spans="2:17" x14ac:dyDescent="0.3">
      <c r="B106" s="1">
        <v>13</v>
      </c>
      <c r="C106" s="1">
        <v>-0.08</v>
      </c>
      <c r="D106" s="1">
        <v>0.08</v>
      </c>
      <c r="F106" s="1">
        <v>-1</v>
      </c>
      <c r="G106" s="1">
        <v>-0.16</v>
      </c>
      <c r="J106" s="1">
        <f t="shared" ca="1" si="21"/>
        <v>5.3500447466300685E-2</v>
      </c>
      <c r="K106" s="1">
        <f t="shared" ca="1" si="22"/>
        <v>-0.49977960917046194</v>
      </c>
      <c r="M106" s="1">
        <v>-6.2393613477476073E-2</v>
      </c>
      <c r="N106" s="1">
        <v>-0.66863953152756994</v>
      </c>
      <c r="O106" s="1">
        <v>63.119680673873802</v>
      </c>
      <c r="P106" s="1">
        <v>-13.119680673873805</v>
      </c>
    </row>
    <row r="107" spans="2:17" x14ac:dyDescent="0.3">
      <c r="B107" s="1">
        <v>14</v>
      </c>
      <c r="C107" s="1">
        <v>0.33</v>
      </c>
      <c r="D107" s="1">
        <v>0.52</v>
      </c>
      <c r="F107" s="1">
        <v>-1</v>
      </c>
      <c r="G107" s="1">
        <v>-0.16</v>
      </c>
      <c r="J107" s="1">
        <f t="shared" ca="1" si="21"/>
        <v>0.42557118639374292</v>
      </c>
      <c r="K107" s="1">
        <f t="shared" ca="1" si="22"/>
        <v>-0.25958954999130479</v>
      </c>
      <c r="M107" s="1">
        <v>0.41702941662489224</v>
      </c>
      <c r="N107" s="1">
        <v>-0.27685973839598577</v>
      </c>
      <c r="O107" s="1">
        <v>8.8647055583405194</v>
      </c>
      <c r="P107" s="1">
        <v>47.729411116681035</v>
      </c>
    </row>
    <row r="108" spans="2:17" x14ac:dyDescent="0.3">
      <c r="B108" s="1">
        <v>15</v>
      </c>
      <c r="C108" s="1">
        <v>0.89</v>
      </c>
      <c r="D108" s="1">
        <v>1</v>
      </c>
      <c r="F108" s="1">
        <v>-1</v>
      </c>
      <c r="G108" s="1">
        <v>-0.16</v>
      </c>
      <c r="J108" s="1">
        <f t="shared" ca="1" si="21"/>
        <v>0.9238574895325069</v>
      </c>
      <c r="K108" s="1">
        <f t="shared" ca="1" si="22"/>
        <v>-0.93950592879292649</v>
      </c>
      <c r="M108" s="1">
        <v>0.94456519930987359</v>
      </c>
      <c r="N108" s="1">
        <v>-0.65933207007405659</v>
      </c>
      <c r="O108" s="1">
        <v>-26.30434662065824</v>
      </c>
      <c r="P108" s="1">
        <v>-22.60869324131648</v>
      </c>
    </row>
    <row r="111" spans="2:17" x14ac:dyDescent="0.3">
      <c r="B111" s="1">
        <v>1</v>
      </c>
      <c r="C111" s="6" t="s">
        <v>54</v>
      </c>
      <c r="F111" s="6" t="s">
        <v>43</v>
      </c>
      <c r="J111" s="6" t="s">
        <v>30</v>
      </c>
      <c r="L111" s="6" t="s">
        <v>59</v>
      </c>
      <c r="O111" s="6" t="s">
        <v>31</v>
      </c>
      <c r="Q111" s="6" t="s">
        <v>69</v>
      </c>
    </row>
    <row r="112" spans="2:17" x14ac:dyDescent="0.3">
      <c r="B112" s="1">
        <v>2</v>
      </c>
      <c r="C112" s="6" t="s">
        <v>55</v>
      </c>
      <c r="F112" s="6" t="s">
        <v>43</v>
      </c>
      <c r="J112" s="6" t="s">
        <v>30</v>
      </c>
      <c r="L112" s="6" t="s">
        <v>60</v>
      </c>
      <c r="O112" s="6" t="s">
        <v>31</v>
      </c>
      <c r="Q112" s="6" t="s">
        <v>70</v>
      </c>
    </row>
    <row r="113" spans="2:17" x14ac:dyDescent="0.3">
      <c r="B113" s="1">
        <v>3</v>
      </c>
      <c r="C113" s="6" t="s">
        <v>56</v>
      </c>
      <c r="F113" s="6" t="s">
        <v>44</v>
      </c>
      <c r="J113" s="6" t="s">
        <v>30</v>
      </c>
      <c r="L113" s="6" t="s">
        <v>61</v>
      </c>
      <c r="O113" s="6" t="s">
        <v>31</v>
      </c>
      <c r="Q113" s="6" t="s">
        <v>71</v>
      </c>
    </row>
    <row r="114" spans="2:17" x14ac:dyDescent="0.3">
      <c r="B114" s="1">
        <v>4</v>
      </c>
      <c r="C114" s="6" t="s">
        <v>57</v>
      </c>
      <c r="F114" s="6" t="s">
        <v>45</v>
      </c>
      <c r="J114" s="6" t="s">
        <v>30</v>
      </c>
      <c r="L114" s="6" t="s">
        <v>62</v>
      </c>
      <c r="O114" s="6" t="s">
        <v>31</v>
      </c>
      <c r="Q114" s="6" t="s">
        <v>72</v>
      </c>
    </row>
    <row r="115" spans="2:17" x14ac:dyDescent="0.3">
      <c r="B115" s="1">
        <v>5</v>
      </c>
      <c r="C115" s="6" t="s">
        <v>58</v>
      </c>
      <c r="F115" s="6" t="s">
        <v>46</v>
      </c>
      <c r="J115" s="6" t="s">
        <v>30</v>
      </c>
      <c r="L115" s="6" t="s">
        <v>63</v>
      </c>
      <c r="O115" s="6" t="s">
        <v>31</v>
      </c>
      <c r="Q115" s="6" t="s">
        <v>73</v>
      </c>
    </row>
    <row r="116" spans="2:17" x14ac:dyDescent="0.3">
      <c r="B116" s="1">
        <v>6</v>
      </c>
      <c r="C116" s="6" t="s">
        <v>54</v>
      </c>
      <c r="F116" s="6" t="s">
        <v>47</v>
      </c>
      <c r="J116" s="6" t="s">
        <v>30</v>
      </c>
      <c r="L116" s="6" t="s">
        <v>64</v>
      </c>
      <c r="O116" s="6" t="s">
        <v>31</v>
      </c>
      <c r="Q116" s="6" t="s">
        <v>73</v>
      </c>
    </row>
    <row r="117" spans="2:17" x14ac:dyDescent="0.3">
      <c r="B117" s="1">
        <v>7</v>
      </c>
      <c r="C117" s="6" t="s">
        <v>55</v>
      </c>
      <c r="F117" s="6" t="s">
        <v>47</v>
      </c>
      <c r="J117" s="6" t="s">
        <v>30</v>
      </c>
      <c r="L117" s="6" t="s">
        <v>59</v>
      </c>
      <c r="O117" s="6" t="s">
        <v>31</v>
      </c>
      <c r="Q117" s="6" t="s">
        <v>69</v>
      </c>
    </row>
    <row r="118" spans="2:17" x14ac:dyDescent="0.3">
      <c r="B118" s="1">
        <v>8</v>
      </c>
      <c r="C118" s="6" t="s">
        <v>56</v>
      </c>
      <c r="F118" s="6" t="s">
        <v>48</v>
      </c>
      <c r="J118" s="6" t="s">
        <v>30</v>
      </c>
      <c r="L118" s="6" t="s">
        <v>65</v>
      </c>
      <c r="O118" s="6" t="s">
        <v>31</v>
      </c>
      <c r="Q118" s="6" t="s">
        <v>74</v>
      </c>
    </row>
    <row r="119" spans="2:17" x14ac:dyDescent="0.3">
      <c r="B119" s="1">
        <v>9</v>
      </c>
      <c r="C119" s="6" t="s">
        <v>57</v>
      </c>
      <c r="F119" s="6" t="s">
        <v>49</v>
      </c>
      <c r="J119" s="6" t="s">
        <v>30</v>
      </c>
      <c r="L119" s="6" t="s">
        <v>66</v>
      </c>
      <c r="O119" s="6" t="s">
        <v>31</v>
      </c>
      <c r="Q119" s="6" t="s">
        <v>75</v>
      </c>
    </row>
    <row r="120" spans="2:17" x14ac:dyDescent="0.3">
      <c r="B120" s="1">
        <v>10</v>
      </c>
      <c r="C120" s="6" t="s">
        <v>58</v>
      </c>
      <c r="F120" s="6" t="s">
        <v>49</v>
      </c>
      <c r="J120" s="6" t="s">
        <v>30</v>
      </c>
      <c r="L120" s="6" t="s">
        <v>63</v>
      </c>
      <c r="O120" s="6" t="s">
        <v>31</v>
      </c>
      <c r="Q120" s="6" t="s">
        <v>73</v>
      </c>
    </row>
    <row r="121" spans="2:17" x14ac:dyDescent="0.3">
      <c r="B121" s="1">
        <v>11</v>
      </c>
      <c r="C121" s="6" t="s">
        <v>54</v>
      </c>
      <c r="F121" s="6" t="s">
        <v>50</v>
      </c>
      <c r="J121" s="6" t="s">
        <v>30</v>
      </c>
      <c r="L121" s="6" t="s">
        <v>67</v>
      </c>
      <c r="O121" s="6" t="s">
        <v>31</v>
      </c>
      <c r="Q121" s="6" t="s">
        <v>76</v>
      </c>
    </row>
    <row r="122" spans="2:17" x14ac:dyDescent="0.3">
      <c r="B122" s="1">
        <v>12</v>
      </c>
      <c r="C122" s="6" t="s">
        <v>55</v>
      </c>
      <c r="F122" s="6" t="s">
        <v>51</v>
      </c>
      <c r="J122" s="6" t="s">
        <v>30</v>
      </c>
      <c r="L122" s="6" t="s">
        <v>64</v>
      </c>
      <c r="O122" s="6" t="s">
        <v>31</v>
      </c>
      <c r="Q122" s="6" t="s">
        <v>73</v>
      </c>
    </row>
    <row r="123" spans="2:17" x14ac:dyDescent="0.3">
      <c r="B123" s="1">
        <v>13</v>
      </c>
      <c r="C123" s="6" t="s">
        <v>56</v>
      </c>
      <c r="F123" s="6" t="s">
        <v>52</v>
      </c>
      <c r="J123" s="6" t="s">
        <v>30</v>
      </c>
      <c r="L123" s="6" t="s">
        <v>59</v>
      </c>
      <c r="O123" s="6" t="s">
        <v>31</v>
      </c>
      <c r="Q123" s="6" t="s">
        <v>69</v>
      </c>
    </row>
    <row r="124" spans="2:17" x14ac:dyDescent="0.3">
      <c r="B124" s="1">
        <v>14</v>
      </c>
      <c r="C124" s="6" t="s">
        <v>57</v>
      </c>
      <c r="F124" s="6" t="s">
        <v>53</v>
      </c>
      <c r="J124" s="6" t="s">
        <v>30</v>
      </c>
      <c r="L124" s="6" t="s">
        <v>68</v>
      </c>
      <c r="O124" s="6" t="s">
        <v>31</v>
      </c>
      <c r="Q124" s="6" t="s">
        <v>77</v>
      </c>
    </row>
    <row r="125" spans="2:17" x14ac:dyDescent="0.3">
      <c r="B125" s="1">
        <v>15</v>
      </c>
      <c r="C125" s="6" t="s">
        <v>58</v>
      </c>
      <c r="F125" s="6" t="s">
        <v>53</v>
      </c>
      <c r="J125" s="6" t="s">
        <v>30</v>
      </c>
      <c r="L125" s="6" t="s">
        <v>63</v>
      </c>
      <c r="O125" s="6" t="s">
        <v>31</v>
      </c>
      <c r="Q125" s="6" t="s">
        <v>73</v>
      </c>
    </row>
    <row r="128" spans="2:17" x14ac:dyDescent="0.3">
      <c r="B128" s="1">
        <v>1</v>
      </c>
      <c r="C128" s="6" t="str">
        <f>CONCATENATE(C111," ",F111," ",J111," ",L111," ",O111," ",Q111)</f>
        <v>Cuando estés muy lejos de la pared, pero te estás acercando a ella, gira tu rueda izquierda rápidamente hacia delante, y gira tu rueda derecha muy lento hacia atrás.</v>
      </c>
    </row>
    <row r="129" spans="2:3" x14ac:dyDescent="0.3">
      <c r="B129" s="1">
        <v>2</v>
      </c>
      <c r="C129" s="6" t="str">
        <f t="shared" ref="C129:C142" si="23">CONCATENATE(C112," ",F112," ",J112," ",L112," ",O112," ",Q112)</f>
        <v>Cuando estés lejos de la pared, pero te estás acercando a ella, gira tu rueda izquierda medio rápido hacia delante, y gira tu rueda derecha muy lento hacia delante.</v>
      </c>
    </row>
    <row r="130" spans="2:3" x14ac:dyDescent="0.3">
      <c r="B130" s="1">
        <v>3</v>
      </c>
      <c r="C130" s="6" t="str">
        <f t="shared" si="23"/>
        <v>Cuando estés a la distancia requerida, pero te estás acercando a la pared, gira tu rueda izquierda muy lento hacia atrás, y gira tu rueda derecha rápidamente hacia delante.</v>
      </c>
    </row>
    <row r="131" spans="2:3" x14ac:dyDescent="0.3">
      <c r="B131" s="1">
        <v>4</v>
      </c>
      <c r="C131" s="6" t="str">
        <f t="shared" si="23"/>
        <v>Cuando estés cerca a la pared, y te estás acercando más a ella, gira tu rueda izquierda muy rápido hacia atrás, y gira tu rueda derecha muy rápido hacia delante.</v>
      </c>
    </row>
    <row r="132" spans="2:3" x14ac:dyDescent="0.3">
      <c r="B132" s="1">
        <v>5</v>
      </c>
      <c r="C132" s="6" t="str">
        <f t="shared" si="23"/>
        <v>Cuando estés muy cerca a la pared, y te estás acercando aun más a ella, gira tu rueda izquierda despacito hacia atrás, y gira tu rueda derecha despacito hacia atrás.</v>
      </c>
    </row>
    <row r="133" spans="2:3" x14ac:dyDescent="0.3">
      <c r="B133" s="1">
        <v>6</v>
      </c>
      <c r="C133" s="6" t="str">
        <f t="shared" si="23"/>
        <v>Cuando estés muy lejos de la pared, pero ni te alejas más ni te acercas a ella, gira tu rueda izquierda bastante rápido hacia delante, y gira tu rueda derecha despacito hacia atrás.</v>
      </c>
    </row>
    <row r="134" spans="2:3" x14ac:dyDescent="0.3">
      <c r="B134" s="1">
        <v>7</v>
      </c>
      <c r="C134" s="6" t="str">
        <f t="shared" si="23"/>
        <v>Cuando estés lejos de la pared, pero ni te alejas más ni te acercas a ella, gira tu rueda izquierda rápidamente hacia delante, y gira tu rueda derecha muy lento hacia atrás.</v>
      </c>
    </row>
    <row r="135" spans="2:3" x14ac:dyDescent="0.3">
      <c r="B135" s="1">
        <v>8</v>
      </c>
      <c r="C135" s="6" t="str">
        <f t="shared" si="23"/>
        <v>Cuando estés a la distancia requerida, y ni te alejas ni te acercas a ella, gira tu rueda izquierda despacito hacia delante, y gira tu rueda derecha despacito hacia delante.</v>
      </c>
    </row>
    <row r="136" spans="2:3" s="12" customFormat="1" x14ac:dyDescent="0.3">
      <c r="B136" s="12">
        <v>9</v>
      </c>
      <c r="C136" s="15" t="str">
        <f t="shared" si="23"/>
        <v>Cuando estés cerca a la pared, pero ni te acercas más ni te alejas de ella, gira tu rueda izquierda bastante rápido hacia atrás, y gira tu rueda derecha bastante rápido hacia delante.</v>
      </c>
    </row>
    <row r="137" spans="2:3" x14ac:dyDescent="0.3">
      <c r="B137" s="1">
        <v>10</v>
      </c>
      <c r="C137" s="6" t="str">
        <f t="shared" si="23"/>
        <v>Cuando estés muy cerca a la pared, pero ni te acercas más ni te alejas de ella, gira tu rueda izquierda despacito hacia atrás, y gira tu rueda derecha despacito hacia atrás.</v>
      </c>
    </row>
    <row r="138" spans="2:3" x14ac:dyDescent="0.3">
      <c r="B138" s="1">
        <v>11</v>
      </c>
      <c r="C138" s="6" t="str">
        <f t="shared" si="23"/>
        <v>Cuando estés muy lejos de la pared, y te estás alejando aun más de ella, gira tu rueda izquierda muy rápido hacia delante, y gira tu rueda derecha más o menos rápido hacia atrás.</v>
      </c>
    </row>
    <row r="139" spans="2:3" x14ac:dyDescent="0.3">
      <c r="B139" s="1">
        <v>12</v>
      </c>
      <c r="C139" s="6" t="str">
        <f t="shared" si="23"/>
        <v>Cuando estés lejos de la pared, y te estás alejando más de ella, gira tu rueda izquierda bastante rápido hacia delante, y gira tu rueda derecha despacito hacia atrás.</v>
      </c>
    </row>
    <row r="140" spans="2:3" x14ac:dyDescent="0.3">
      <c r="B140" s="1">
        <v>13</v>
      </c>
      <c r="C140" s="6" t="str">
        <f t="shared" si="23"/>
        <v>Cuando estés a la distancia requerida, pero te estás alejando de la pared, gira tu rueda izquierda rápidamente hacia delante, y gira tu rueda derecha muy lento hacia atrás.</v>
      </c>
    </row>
    <row r="141" spans="2:3" x14ac:dyDescent="0.3">
      <c r="B141" s="1">
        <v>14</v>
      </c>
      <c r="C141" s="6" t="str">
        <f t="shared" si="23"/>
        <v>Cuando estés cerca a la pared, pero te estás alejando de ella, gira tu rueda izquierda muy lento hacia delante, y gira tu rueda derecha medio rápido hacia delante.</v>
      </c>
    </row>
    <row r="142" spans="2:3" x14ac:dyDescent="0.3">
      <c r="B142" s="1">
        <v>15</v>
      </c>
      <c r="C142" s="6" t="str">
        <f t="shared" si="23"/>
        <v>Cuando estés muy cerca a la pared, pero te estás alejando de ella, gira tu rueda izquierda despacito hacia atrás, y gira tu rueda derecha despacito hacia atrás.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BCDC0-F90A-490F-AAF8-C973C902B5E2}">
  <sheetPr codeName="Hoja8"/>
  <dimension ref="A1:B75"/>
  <sheetViews>
    <sheetView tabSelected="1" zoomScale="90" zoomScaleNormal="90" workbookViewId="0">
      <selection activeCell="B1" sqref="B1"/>
    </sheetView>
  </sheetViews>
  <sheetFormatPr baseColWidth="10" defaultRowHeight="14.4" x14ac:dyDescent="0.3"/>
  <cols>
    <col min="1" max="1" width="159.21875" style="16" bestFit="1" customWidth="1"/>
    <col min="2" max="2" width="156.77734375" style="16" bestFit="1" customWidth="1"/>
    <col min="3" max="16384" width="11.5546875" style="16"/>
  </cols>
  <sheetData>
    <row r="1" spans="1:2" x14ac:dyDescent="0.3">
      <c r="A1" s="16" t="s">
        <v>102</v>
      </c>
      <c r="B1" s="18" t="s">
        <v>87</v>
      </c>
    </row>
    <row r="2" spans="1:2" x14ac:dyDescent="0.3">
      <c r="A2" s="16" t="s">
        <v>103</v>
      </c>
      <c r="B2" s="18" t="s">
        <v>88</v>
      </c>
    </row>
    <row r="3" spans="1:2" x14ac:dyDescent="0.3">
      <c r="A3" s="16" t="s">
        <v>104</v>
      </c>
      <c r="B3" s="18" t="s">
        <v>89</v>
      </c>
    </row>
    <row r="4" spans="1:2" x14ac:dyDescent="0.3">
      <c r="A4" s="16" t="s">
        <v>105</v>
      </c>
      <c r="B4" s="18" t="s">
        <v>90</v>
      </c>
    </row>
    <row r="5" spans="1:2" x14ac:dyDescent="0.3">
      <c r="A5" s="16" t="s">
        <v>106</v>
      </c>
      <c r="B5" s="17" t="s">
        <v>91</v>
      </c>
    </row>
    <row r="6" spans="1:2" x14ac:dyDescent="0.3">
      <c r="A6" s="16" t="s">
        <v>107</v>
      </c>
      <c r="B6" s="17" t="s">
        <v>92</v>
      </c>
    </row>
    <row r="7" spans="1:2" x14ac:dyDescent="0.3">
      <c r="A7" s="16" t="s">
        <v>108</v>
      </c>
      <c r="B7" s="17" t="s">
        <v>93</v>
      </c>
    </row>
    <row r="8" spans="1:2" x14ac:dyDescent="0.3">
      <c r="A8" s="16" t="s">
        <v>109</v>
      </c>
      <c r="B8" s="17" t="s">
        <v>94</v>
      </c>
    </row>
    <row r="9" spans="1:2" x14ac:dyDescent="0.3">
      <c r="A9" s="16" t="s">
        <v>110</v>
      </c>
      <c r="B9" s="17" t="s">
        <v>95</v>
      </c>
    </row>
    <row r="10" spans="1:2" x14ac:dyDescent="0.3">
      <c r="A10" s="16" t="s">
        <v>111</v>
      </c>
      <c r="B10" s="17" t="s">
        <v>96</v>
      </c>
    </row>
    <row r="11" spans="1:2" x14ac:dyDescent="0.3">
      <c r="A11" s="16" t="s">
        <v>112</v>
      </c>
      <c r="B11" s="17" t="s">
        <v>97</v>
      </c>
    </row>
    <row r="12" spans="1:2" x14ac:dyDescent="0.3">
      <c r="A12" s="16" t="s">
        <v>113</v>
      </c>
      <c r="B12" s="17" t="s">
        <v>98</v>
      </c>
    </row>
    <row r="13" spans="1:2" x14ac:dyDescent="0.3">
      <c r="A13" s="16" t="s">
        <v>114</v>
      </c>
      <c r="B13" s="17" t="s">
        <v>99</v>
      </c>
    </row>
    <row r="14" spans="1:2" x14ac:dyDescent="0.3">
      <c r="A14" s="16" t="s">
        <v>115</v>
      </c>
      <c r="B14" s="17" t="s">
        <v>100</v>
      </c>
    </row>
    <row r="15" spans="1:2" x14ac:dyDescent="0.3">
      <c r="A15" s="16" t="s">
        <v>116</v>
      </c>
      <c r="B15" s="17" t="s">
        <v>101</v>
      </c>
    </row>
    <row r="16" spans="1:2" x14ac:dyDescent="0.3">
      <c r="A16" s="16" t="s">
        <v>102</v>
      </c>
      <c r="B16" s="18" t="s">
        <v>87</v>
      </c>
    </row>
    <row r="17" spans="1:2" x14ac:dyDescent="0.3">
      <c r="A17" s="16" t="s">
        <v>117</v>
      </c>
      <c r="B17" s="18" t="s">
        <v>88</v>
      </c>
    </row>
    <row r="18" spans="1:2" x14ac:dyDescent="0.3">
      <c r="A18" s="16" t="s">
        <v>118</v>
      </c>
      <c r="B18" s="18" t="s">
        <v>89</v>
      </c>
    </row>
    <row r="19" spans="1:2" x14ac:dyDescent="0.3">
      <c r="A19" s="16" t="s">
        <v>105</v>
      </c>
      <c r="B19" s="18" t="s">
        <v>90</v>
      </c>
    </row>
    <row r="20" spans="1:2" x14ac:dyDescent="0.3">
      <c r="A20" s="16" t="s">
        <v>106</v>
      </c>
      <c r="B20" s="17" t="s">
        <v>91</v>
      </c>
    </row>
    <row r="21" spans="1:2" x14ac:dyDescent="0.3">
      <c r="A21" s="16" t="s">
        <v>119</v>
      </c>
      <c r="B21" s="17" t="s">
        <v>92</v>
      </c>
    </row>
    <row r="22" spans="1:2" x14ac:dyDescent="0.3">
      <c r="A22" s="16" t="s">
        <v>108</v>
      </c>
      <c r="B22" s="17" t="s">
        <v>93</v>
      </c>
    </row>
    <row r="23" spans="1:2" x14ac:dyDescent="0.3">
      <c r="A23" s="16" t="s">
        <v>109</v>
      </c>
      <c r="B23" s="17" t="s">
        <v>94</v>
      </c>
    </row>
    <row r="24" spans="1:2" x14ac:dyDescent="0.3">
      <c r="A24" s="16" t="s">
        <v>120</v>
      </c>
      <c r="B24" s="17" t="s">
        <v>95</v>
      </c>
    </row>
    <row r="25" spans="1:2" x14ac:dyDescent="0.3">
      <c r="A25" s="16" t="s">
        <v>121</v>
      </c>
      <c r="B25" s="17" t="s">
        <v>96</v>
      </c>
    </row>
    <row r="26" spans="1:2" x14ac:dyDescent="0.3">
      <c r="A26" s="16" t="s">
        <v>112</v>
      </c>
      <c r="B26" s="17" t="s">
        <v>97</v>
      </c>
    </row>
    <row r="27" spans="1:2" x14ac:dyDescent="0.3">
      <c r="A27" s="16" t="s">
        <v>122</v>
      </c>
      <c r="B27" s="17" t="s">
        <v>98</v>
      </c>
    </row>
    <row r="28" spans="1:2" x14ac:dyDescent="0.3">
      <c r="A28" s="16" t="s">
        <v>114</v>
      </c>
      <c r="B28" s="17" t="s">
        <v>99</v>
      </c>
    </row>
    <row r="29" spans="1:2" x14ac:dyDescent="0.3">
      <c r="A29" s="16" t="s">
        <v>115</v>
      </c>
      <c r="B29" s="17" t="s">
        <v>100</v>
      </c>
    </row>
    <row r="30" spans="1:2" x14ac:dyDescent="0.3">
      <c r="A30" s="16" t="s">
        <v>116</v>
      </c>
      <c r="B30" s="17" t="s">
        <v>101</v>
      </c>
    </row>
    <row r="31" spans="1:2" x14ac:dyDescent="0.3">
      <c r="A31" s="16" t="s">
        <v>102</v>
      </c>
      <c r="B31" s="18" t="s">
        <v>87</v>
      </c>
    </row>
    <row r="32" spans="1:2" x14ac:dyDescent="0.3">
      <c r="A32" s="16" t="s">
        <v>103</v>
      </c>
      <c r="B32" s="18" t="s">
        <v>88</v>
      </c>
    </row>
    <row r="33" spans="1:2" x14ac:dyDescent="0.3">
      <c r="A33" s="16" t="s">
        <v>118</v>
      </c>
      <c r="B33" s="18" t="s">
        <v>89</v>
      </c>
    </row>
    <row r="34" spans="1:2" x14ac:dyDescent="0.3">
      <c r="A34" s="16" t="s">
        <v>105</v>
      </c>
      <c r="B34" s="18" t="s">
        <v>90</v>
      </c>
    </row>
    <row r="35" spans="1:2" x14ac:dyDescent="0.3">
      <c r="A35" s="16" t="s">
        <v>106</v>
      </c>
      <c r="B35" s="17" t="s">
        <v>91</v>
      </c>
    </row>
    <row r="36" spans="1:2" x14ac:dyDescent="0.3">
      <c r="A36" s="16" t="s">
        <v>107</v>
      </c>
      <c r="B36" s="17" t="s">
        <v>92</v>
      </c>
    </row>
    <row r="37" spans="1:2" x14ac:dyDescent="0.3">
      <c r="A37" s="16" t="s">
        <v>123</v>
      </c>
      <c r="B37" s="17" t="s">
        <v>93</v>
      </c>
    </row>
    <row r="38" spans="1:2" x14ac:dyDescent="0.3">
      <c r="A38" s="16" t="s">
        <v>109</v>
      </c>
      <c r="B38" s="17" t="s">
        <v>94</v>
      </c>
    </row>
    <row r="39" spans="1:2" x14ac:dyDescent="0.3">
      <c r="A39" s="16" t="s">
        <v>124</v>
      </c>
      <c r="B39" s="17" t="s">
        <v>95</v>
      </c>
    </row>
    <row r="40" spans="1:2" x14ac:dyDescent="0.3">
      <c r="A40" s="16" t="s">
        <v>121</v>
      </c>
      <c r="B40" s="17" t="s">
        <v>96</v>
      </c>
    </row>
    <row r="41" spans="1:2" x14ac:dyDescent="0.3">
      <c r="A41" s="16" t="s">
        <v>112</v>
      </c>
      <c r="B41" s="17" t="s">
        <v>97</v>
      </c>
    </row>
    <row r="42" spans="1:2" x14ac:dyDescent="0.3">
      <c r="A42" s="16" t="s">
        <v>113</v>
      </c>
      <c r="B42" s="17" t="s">
        <v>98</v>
      </c>
    </row>
    <row r="43" spans="1:2" x14ac:dyDescent="0.3">
      <c r="A43" s="16" t="s">
        <v>114</v>
      </c>
      <c r="B43" s="17" t="s">
        <v>99</v>
      </c>
    </row>
    <row r="44" spans="1:2" x14ac:dyDescent="0.3">
      <c r="A44" s="16" t="s">
        <v>115</v>
      </c>
      <c r="B44" s="17" t="s">
        <v>100</v>
      </c>
    </row>
    <row r="45" spans="1:2" x14ac:dyDescent="0.3">
      <c r="A45" s="16" t="s">
        <v>125</v>
      </c>
      <c r="B45" s="17" t="s">
        <v>101</v>
      </c>
    </row>
    <row r="46" spans="1:2" x14ac:dyDescent="0.3">
      <c r="A46" s="16" t="s">
        <v>102</v>
      </c>
      <c r="B46" s="18" t="s">
        <v>87</v>
      </c>
    </row>
    <row r="47" spans="1:2" x14ac:dyDescent="0.3">
      <c r="A47" s="16" t="s">
        <v>103</v>
      </c>
      <c r="B47" s="18" t="s">
        <v>88</v>
      </c>
    </row>
    <row r="48" spans="1:2" x14ac:dyDescent="0.3">
      <c r="A48" s="16" t="s">
        <v>118</v>
      </c>
      <c r="B48" s="18" t="s">
        <v>89</v>
      </c>
    </row>
    <row r="49" spans="1:2" x14ac:dyDescent="0.3">
      <c r="A49" s="16" t="s">
        <v>126</v>
      </c>
      <c r="B49" s="18" t="s">
        <v>90</v>
      </c>
    </row>
    <row r="50" spans="1:2" x14ac:dyDescent="0.3">
      <c r="A50" s="16" t="s">
        <v>106</v>
      </c>
      <c r="B50" s="17" t="s">
        <v>91</v>
      </c>
    </row>
    <row r="51" spans="1:2" x14ac:dyDescent="0.3">
      <c r="A51" s="16" t="s">
        <v>107</v>
      </c>
      <c r="B51" s="17" t="s">
        <v>92</v>
      </c>
    </row>
    <row r="52" spans="1:2" x14ac:dyDescent="0.3">
      <c r="A52" s="16" t="s">
        <v>108</v>
      </c>
      <c r="B52" s="17" t="s">
        <v>93</v>
      </c>
    </row>
    <row r="53" spans="1:2" x14ac:dyDescent="0.3">
      <c r="A53" s="16" t="s">
        <v>109</v>
      </c>
      <c r="B53" s="17" t="s">
        <v>94</v>
      </c>
    </row>
    <row r="54" spans="1:2" x14ac:dyDescent="0.3">
      <c r="A54" s="16" t="s">
        <v>127</v>
      </c>
      <c r="B54" s="17" t="s">
        <v>95</v>
      </c>
    </row>
    <row r="55" spans="1:2" x14ac:dyDescent="0.3">
      <c r="A55" s="16" t="s">
        <v>128</v>
      </c>
      <c r="B55" s="17" t="s">
        <v>96</v>
      </c>
    </row>
    <row r="56" spans="1:2" x14ac:dyDescent="0.3">
      <c r="A56" s="16" t="s">
        <v>112</v>
      </c>
      <c r="B56" s="17" t="s">
        <v>97</v>
      </c>
    </row>
    <row r="57" spans="1:2" x14ac:dyDescent="0.3">
      <c r="A57" s="16" t="s">
        <v>122</v>
      </c>
      <c r="B57" s="17" t="s">
        <v>98</v>
      </c>
    </row>
    <row r="58" spans="1:2" x14ac:dyDescent="0.3">
      <c r="A58" s="16" t="s">
        <v>114</v>
      </c>
      <c r="B58" s="17" t="s">
        <v>99</v>
      </c>
    </row>
    <row r="59" spans="1:2" x14ac:dyDescent="0.3">
      <c r="A59" s="16" t="s">
        <v>115</v>
      </c>
      <c r="B59" s="17" t="s">
        <v>100</v>
      </c>
    </row>
    <row r="60" spans="1:2" x14ac:dyDescent="0.3">
      <c r="A60" s="16" t="s">
        <v>125</v>
      </c>
      <c r="B60" s="17" t="s">
        <v>101</v>
      </c>
    </row>
    <row r="61" spans="1:2" x14ac:dyDescent="0.3">
      <c r="A61" s="16" t="s">
        <v>102</v>
      </c>
      <c r="B61" s="18" t="s">
        <v>87</v>
      </c>
    </row>
    <row r="62" spans="1:2" x14ac:dyDescent="0.3">
      <c r="A62" s="16" t="s">
        <v>103</v>
      </c>
      <c r="B62" s="18" t="s">
        <v>88</v>
      </c>
    </row>
    <row r="63" spans="1:2" x14ac:dyDescent="0.3">
      <c r="A63" s="16" t="s">
        <v>104</v>
      </c>
      <c r="B63" s="18" t="s">
        <v>89</v>
      </c>
    </row>
    <row r="64" spans="1:2" x14ac:dyDescent="0.3">
      <c r="A64" s="16" t="s">
        <v>105</v>
      </c>
      <c r="B64" s="18" t="s">
        <v>90</v>
      </c>
    </row>
    <row r="65" spans="1:2" x14ac:dyDescent="0.3">
      <c r="A65" s="16" t="s">
        <v>129</v>
      </c>
      <c r="B65" s="17" t="s">
        <v>91</v>
      </c>
    </row>
    <row r="66" spans="1:2" x14ac:dyDescent="0.3">
      <c r="A66" s="16" t="s">
        <v>119</v>
      </c>
      <c r="B66" s="17" t="s">
        <v>92</v>
      </c>
    </row>
    <row r="67" spans="1:2" x14ac:dyDescent="0.3">
      <c r="A67" s="16" t="s">
        <v>108</v>
      </c>
      <c r="B67" s="17" t="s">
        <v>93</v>
      </c>
    </row>
    <row r="68" spans="1:2" x14ac:dyDescent="0.3">
      <c r="A68" s="16" t="s">
        <v>109</v>
      </c>
      <c r="B68" s="17" t="s">
        <v>94</v>
      </c>
    </row>
    <row r="69" spans="1:2" x14ac:dyDescent="0.3">
      <c r="A69" s="16" t="s">
        <v>120</v>
      </c>
      <c r="B69" s="17" t="s">
        <v>95</v>
      </c>
    </row>
    <row r="70" spans="1:2" x14ac:dyDescent="0.3">
      <c r="A70" s="16" t="s">
        <v>121</v>
      </c>
      <c r="B70" s="17" t="s">
        <v>96</v>
      </c>
    </row>
    <row r="71" spans="1:2" x14ac:dyDescent="0.3">
      <c r="A71" s="16" t="s">
        <v>112</v>
      </c>
      <c r="B71" s="17" t="s">
        <v>97</v>
      </c>
    </row>
    <row r="72" spans="1:2" x14ac:dyDescent="0.3">
      <c r="A72" s="16" t="s">
        <v>130</v>
      </c>
      <c r="B72" s="17" t="s">
        <v>98</v>
      </c>
    </row>
    <row r="73" spans="1:2" x14ac:dyDescent="0.3">
      <c r="A73" s="16" t="s">
        <v>114</v>
      </c>
      <c r="B73" s="17" t="s">
        <v>99</v>
      </c>
    </row>
    <row r="74" spans="1:2" x14ac:dyDescent="0.3">
      <c r="A74" s="16" t="s">
        <v>115</v>
      </c>
      <c r="B74" s="17" t="s">
        <v>100</v>
      </c>
    </row>
    <row r="75" spans="1:2" x14ac:dyDescent="0.3">
      <c r="A75" s="16" t="s">
        <v>125</v>
      </c>
      <c r="B75" s="17" t="s">
        <v>101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B5A0-A209-44D5-9750-ACF8A8A129D7}">
  <sheetPr codeName="Hoja6"/>
  <dimension ref="A1:AV976"/>
  <sheetViews>
    <sheetView workbookViewId="0">
      <selection activeCell="E2" sqref="E2:E16"/>
    </sheetView>
  </sheetViews>
  <sheetFormatPr baseColWidth="10" defaultRowHeight="14.4" x14ac:dyDescent="0.3"/>
  <cols>
    <col min="5" max="5" width="11.5546875" style="14"/>
  </cols>
  <sheetData>
    <row r="1" spans="1:48" x14ac:dyDescent="0.3">
      <c r="A1" t="s">
        <v>18</v>
      </c>
      <c r="B1" t="s">
        <v>19</v>
      </c>
      <c r="C1" t="s">
        <v>82</v>
      </c>
      <c r="D1" t="s">
        <v>83</v>
      </c>
      <c r="E1" s="14" t="s">
        <v>86</v>
      </c>
    </row>
    <row r="2" spans="1:48" x14ac:dyDescent="0.3">
      <c r="A2" s="1">
        <v>-0.8969982987589622</v>
      </c>
      <c r="B2" s="1">
        <v>0.72089846051554718</v>
      </c>
      <c r="C2" s="1">
        <v>58.283304979316036</v>
      </c>
      <c r="D2" s="1">
        <v>-6.5666099586320721</v>
      </c>
      <c r="E2" s="14" t="s">
        <v>87</v>
      </c>
    </row>
    <row r="3" spans="1:48" x14ac:dyDescent="0.3">
      <c r="A3" s="1">
        <v>-0.47647250275639719</v>
      </c>
      <c r="B3" s="1">
        <v>0.98388413109734474</v>
      </c>
      <c r="C3" s="1">
        <v>51.27454171260662</v>
      </c>
      <c r="D3" s="1">
        <v>7.4509165747867607</v>
      </c>
      <c r="E3" s="14" t="s">
        <v>88</v>
      </c>
    </row>
    <row r="4" spans="1:48" x14ac:dyDescent="0.3">
      <c r="A4" s="1">
        <v>-4.7251985007343435E-2</v>
      </c>
      <c r="B4" s="1">
        <v>0.93016518037266838</v>
      </c>
      <c r="C4" s="1">
        <v>-2.9122022488984847</v>
      </c>
      <c r="D4" s="1">
        <v>54.093501874082065</v>
      </c>
      <c r="E4" s="14" t="s">
        <v>89</v>
      </c>
    </row>
    <row r="5" spans="1:48" x14ac:dyDescent="0.3">
      <c r="A5" s="1">
        <v>0.43136640506480106</v>
      </c>
      <c r="B5" s="1">
        <v>0.75319590989519369</v>
      </c>
      <c r="C5" s="1">
        <v>-86.863359493519894</v>
      </c>
      <c r="D5" s="1">
        <v>83.726718987039803</v>
      </c>
      <c r="E5" s="14" t="s">
        <v>90</v>
      </c>
    </row>
    <row r="6" spans="1:48" x14ac:dyDescent="0.3">
      <c r="A6" s="1">
        <v>0.98728617131737018</v>
      </c>
      <c r="B6" s="1">
        <v>0.50571347216611373</v>
      </c>
      <c r="C6" s="1">
        <v>-31.271382868262982</v>
      </c>
      <c r="D6" s="1">
        <v>-27.457234263474035</v>
      </c>
      <c r="E6" s="6" t="s">
        <v>91</v>
      </c>
    </row>
    <row r="7" spans="1:48" x14ac:dyDescent="0.3">
      <c r="A7" s="1">
        <v>-0.89713062896878681</v>
      </c>
      <c r="B7" s="1">
        <v>-1.4189296693440587E-3</v>
      </c>
      <c r="C7" s="1">
        <v>76.688948935021543</v>
      </c>
      <c r="D7" s="1">
        <v>-26.68894893502155</v>
      </c>
      <c r="E7" s="6" t="s">
        <v>92</v>
      </c>
    </row>
    <row r="8" spans="1:48" x14ac:dyDescent="0.3">
      <c r="A8" s="1">
        <v>-0.47920633414174252</v>
      </c>
      <c r="B8" s="1">
        <v>1.5914168310072127E-2</v>
      </c>
      <c r="C8" s="1">
        <v>61.591265976753071</v>
      </c>
      <c r="D8" s="1">
        <v>-10.904802512360119</v>
      </c>
      <c r="E8" s="6" t="s">
        <v>93</v>
      </c>
    </row>
    <row r="9" spans="1:48" x14ac:dyDescent="0.3">
      <c r="A9" s="1">
        <v>-7.8523933135134227E-3</v>
      </c>
      <c r="B9" s="1">
        <v>2.3919675144283441E-2</v>
      </c>
      <c r="C9" s="1">
        <v>26.341263332068355</v>
      </c>
      <c r="D9" s="1">
        <v>32.319042120414991</v>
      </c>
      <c r="E9" s="6" t="s">
        <v>94</v>
      </c>
    </row>
    <row r="10" spans="1:48" x14ac:dyDescent="0.3">
      <c r="A10" s="1">
        <v>0.41019952563486761</v>
      </c>
      <c r="B10" s="1">
        <v>1.2606618709719769E-2</v>
      </c>
      <c r="C10" s="1">
        <v>-78.965578685393353</v>
      </c>
      <c r="D10" s="1">
        <v>76.992746725577902</v>
      </c>
      <c r="E10" s="6" t="s">
        <v>95</v>
      </c>
    </row>
    <row r="11" spans="1:48" x14ac:dyDescent="0.3">
      <c r="A11" s="1">
        <v>0.96353195052738061</v>
      </c>
      <c r="B11" s="1">
        <v>1.2309284381078991E-2</v>
      </c>
      <c r="C11" s="1">
        <v>-35.961168450133293</v>
      </c>
      <c r="D11" s="1">
        <v>-17.535738695175844</v>
      </c>
      <c r="E11" s="6" t="s">
        <v>96</v>
      </c>
    </row>
    <row r="12" spans="1:48" s="13" customFormat="1" x14ac:dyDescent="0.3">
      <c r="A12" s="12">
        <v>-0.97772879460856232</v>
      </c>
      <c r="B12" s="12">
        <v>-0.97322946878227312</v>
      </c>
      <c r="C12" s="12">
        <v>89.628813243476046</v>
      </c>
      <c r="D12" s="12">
        <v>-39.628813243476039</v>
      </c>
      <c r="E12" s="15" t="s">
        <v>97</v>
      </c>
    </row>
    <row r="13" spans="1:48" x14ac:dyDescent="0.3">
      <c r="A13" s="1">
        <v>-0.50710598251078176</v>
      </c>
      <c r="B13" s="1">
        <v>-0.68780019101190282</v>
      </c>
      <c r="C13" s="1">
        <v>81.785099708513016</v>
      </c>
      <c r="D13" s="1">
        <v>-31.78509970851303</v>
      </c>
      <c r="E13" s="6" t="s">
        <v>98</v>
      </c>
      <c r="AH13">
        <v>34</v>
      </c>
      <c r="AI13">
        <v>35</v>
      </c>
      <c r="AJ13">
        <v>36</v>
      </c>
      <c r="AK13">
        <v>37</v>
      </c>
      <c r="AL13">
        <v>38</v>
      </c>
      <c r="AM13">
        <v>39</v>
      </c>
      <c r="AN13">
        <v>40</v>
      </c>
      <c r="AO13">
        <v>41</v>
      </c>
      <c r="AP13">
        <v>42</v>
      </c>
      <c r="AQ13">
        <v>43</v>
      </c>
      <c r="AR13">
        <v>44</v>
      </c>
      <c r="AS13">
        <v>45</v>
      </c>
      <c r="AT13">
        <v>46</v>
      </c>
      <c r="AU13">
        <v>47</v>
      </c>
      <c r="AV13">
        <v>48</v>
      </c>
    </row>
    <row r="14" spans="1:48" x14ac:dyDescent="0.3">
      <c r="A14" s="1">
        <v>7.9802923194330397E-2</v>
      </c>
      <c r="B14" s="1">
        <v>-0.9895966082660147</v>
      </c>
      <c r="C14" s="1">
        <v>50.024634600708701</v>
      </c>
      <c r="D14" s="1">
        <v>1.9704384791495591</v>
      </c>
      <c r="E14" s="6" t="s">
        <v>99</v>
      </c>
    </row>
    <row r="15" spans="1:48" x14ac:dyDescent="0.3">
      <c r="A15" s="1">
        <v>0.4881940646526674</v>
      </c>
      <c r="B15" s="1">
        <v>-0.37431551477886005</v>
      </c>
      <c r="C15" s="1">
        <v>4.120395689822173</v>
      </c>
      <c r="D15" s="1">
        <v>38.240791379644349</v>
      </c>
      <c r="E15" s="6" t="s">
        <v>100</v>
      </c>
    </row>
    <row r="16" spans="1:48" x14ac:dyDescent="0.3">
      <c r="A16" s="1">
        <v>0.94719829660789301</v>
      </c>
      <c r="B16" s="1">
        <v>-0.81041526668900832</v>
      </c>
      <c r="C16" s="1">
        <v>-26.479886440526201</v>
      </c>
      <c r="D16" s="1">
        <v>-22.959772881052402</v>
      </c>
      <c r="E16" s="6" t="s">
        <v>101</v>
      </c>
    </row>
    <row r="17" spans="1:5" x14ac:dyDescent="0.3">
      <c r="A17" s="1">
        <v>-0.98135340566370799</v>
      </c>
      <c r="B17" s="1">
        <v>0.95595380907023653</v>
      </c>
      <c r="C17" s="1">
        <v>59.689223427728464</v>
      </c>
      <c r="D17" s="1">
        <v>-9.3784468554569322</v>
      </c>
      <c r="E17" s="6">
        <v>1</v>
      </c>
    </row>
    <row r="18" spans="1:5" x14ac:dyDescent="0.3">
      <c r="A18" s="1">
        <v>-0.45001226388555682</v>
      </c>
      <c r="B18" s="1">
        <v>0.3214029658171772</v>
      </c>
      <c r="C18" s="1">
        <v>50.833537731425949</v>
      </c>
      <c r="D18" s="1">
        <v>8.3329245371481075</v>
      </c>
      <c r="E18" s="6">
        <v>2</v>
      </c>
    </row>
    <row r="19" spans="1:5" x14ac:dyDescent="0.3">
      <c r="A19" s="1">
        <v>-6.7621657751958081E-2</v>
      </c>
      <c r="B19" s="1">
        <v>0.50904284141592637</v>
      </c>
      <c r="C19" s="1">
        <v>0.14324866279371129</v>
      </c>
      <c r="D19" s="1">
        <v>51.547292781005247</v>
      </c>
      <c r="E19" s="6">
        <v>3</v>
      </c>
    </row>
    <row r="20" spans="1:5" x14ac:dyDescent="0.3">
      <c r="A20" s="1">
        <v>0.40524837181158474</v>
      </c>
      <c r="B20" s="1">
        <v>0.809820087740456</v>
      </c>
      <c r="C20" s="1">
        <v>-89.475162818841525</v>
      </c>
      <c r="D20" s="1">
        <v>88.950325637683065</v>
      </c>
      <c r="E20" s="6">
        <v>4</v>
      </c>
    </row>
    <row r="21" spans="1:5" x14ac:dyDescent="0.3">
      <c r="A21" s="1">
        <v>0.95115307147862804</v>
      </c>
      <c r="B21" s="1">
        <v>0.92031936029189743</v>
      </c>
      <c r="C21" s="1">
        <v>-34.884692852137192</v>
      </c>
      <c r="D21" s="1">
        <v>-20.230614295725605</v>
      </c>
      <c r="E21" s="6">
        <v>5</v>
      </c>
    </row>
    <row r="22" spans="1:5" x14ac:dyDescent="0.3">
      <c r="A22" s="1">
        <v>-0.91534834051721781</v>
      </c>
      <c r="B22" s="1">
        <v>1.8313121557616066E-3</v>
      </c>
      <c r="C22" s="1">
        <v>76.779428692145899</v>
      </c>
      <c r="D22" s="1">
        <v>-26.689509780320407</v>
      </c>
      <c r="E22" s="6">
        <v>6</v>
      </c>
    </row>
    <row r="23" spans="1:5" x14ac:dyDescent="0.3">
      <c r="A23" s="1">
        <v>-0.38604350463191983</v>
      </c>
      <c r="B23" s="1">
        <v>7.4872635516008007E-4</v>
      </c>
      <c r="C23" s="1">
        <v>58.66377695939866</v>
      </c>
      <c r="D23" s="1">
        <v>-8.2802994545833091</v>
      </c>
      <c r="E23" s="6">
        <v>7</v>
      </c>
    </row>
    <row r="24" spans="1:5" x14ac:dyDescent="0.3">
      <c r="A24" s="1">
        <v>-6.1467137800192403E-2</v>
      </c>
      <c r="B24" s="1">
        <v>-2.0735291146834617E-2</v>
      </c>
      <c r="C24" s="1">
        <v>40.687970079978214</v>
      </c>
      <c r="D24" s="1">
        <v>16.321845753159046</v>
      </c>
      <c r="E24" s="6">
        <v>8</v>
      </c>
    </row>
    <row r="25" spans="1:5" x14ac:dyDescent="0.3">
      <c r="A25" s="1">
        <v>0.50361291719913348</v>
      </c>
      <c r="B25" s="1">
        <v>1.6927738430665806E-2</v>
      </c>
      <c r="C25" s="1">
        <v>-69.720183068575253</v>
      </c>
      <c r="D25" s="1">
        <v>56.515777119794969</v>
      </c>
      <c r="E25" s="6">
        <v>9</v>
      </c>
    </row>
    <row r="26" spans="1:5" x14ac:dyDescent="0.3">
      <c r="A26" s="1">
        <v>0.99140435782332093</v>
      </c>
      <c r="B26" s="1">
        <v>-1.070140479402653E-2</v>
      </c>
      <c r="C26" s="1">
        <v>-30.139270310430337</v>
      </c>
      <c r="D26" s="1">
        <v>-27.353864101823593</v>
      </c>
      <c r="E26" s="6">
        <v>10</v>
      </c>
    </row>
    <row r="27" spans="1:5" x14ac:dyDescent="0.3">
      <c r="A27" s="1">
        <v>-0.9991971791993417</v>
      </c>
      <c r="B27" s="1">
        <v>-0.53473577397590288</v>
      </c>
      <c r="C27" s="1">
        <v>89.98661965332235</v>
      </c>
      <c r="D27" s="1">
        <v>-39.986619653322357</v>
      </c>
      <c r="E27" s="6">
        <v>11</v>
      </c>
    </row>
    <row r="28" spans="1:5" x14ac:dyDescent="0.3">
      <c r="A28" s="1">
        <v>-0.33151875948226828</v>
      </c>
      <c r="B28" s="1">
        <v>-0.88253883113475906</v>
      </c>
      <c r="C28" s="1">
        <v>76.575937974113401</v>
      </c>
      <c r="D28" s="1">
        <v>-26.575937974113412</v>
      </c>
      <c r="E28" s="6">
        <v>12</v>
      </c>
    </row>
    <row r="29" spans="1:5" x14ac:dyDescent="0.3">
      <c r="A29" s="1">
        <v>7.5853852472662922E-2</v>
      </c>
      <c r="B29" s="1">
        <v>-0.87150863047899374</v>
      </c>
      <c r="C29" s="1">
        <v>50.51826844091714</v>
      </c>
      <c r="D29" s="1">
        <v>1.3780778708994372</v>
      </c>
      <c r="E29" s="6">
        <v>13</v>
      </c>
    </row>
    <row r="30" spans="1:5" x14ac:dyDescent="0.3">
      <c r="A30" s="1">
        <v>0.41139022964909644</v>
      </c>
      <c r="B30" s="1">
        <v>-0.99737568696489531</v>
      </c>
      <c r="C30" s="1">
        <v>9.2406513567269055</v>
      </c>
      <c r="D30" s="1">
        <v>48.481302713453807</v>
      </c>
      <c r="E30" s="6">
        <v>14</v>
      </c>
    </row>
    <row r="31" spans="1:5" x14ac:dyDescent="0.3">
      <c r="A31" s="1">
        <v>0.94982984331300313</v>
      </c>
      <c r="B31" s="1">
        <v>-0.71604155097154376</v>
      </c>
      <c r="C31" s="1">
        <v>-26.655322887533544</v>
      </c>
      <c r="D31" s="1">
        <v>-23.310645775067087</v>
      </c>
      <c r="E31" s="6">
        <v>15</v>
      </c>
    </row>
    <row r="32" spans="1:5" x14ac:dyDescent="0.3">
      <c r="A32" s="1">
        <v>-0.89458683068664957</v>
      </c>
      <c r="B32" s="1">
        <v>0.91847829708881634</v>
      </c>
      <c r="C32" s="1">
        <v>58.243113844777497</v>
      </c>
      <c r="D32" s="1">
        <v>-6.486227689554986</v>
      </c>
      <c r="E32" s="6">
        <v>1</v>
      </c>
    </row>
    <row r="33" spans="1:5" x14ac:dyDescent="0.3">
      <c r="A33" s="1">
        <v>-0.47228025030655613</v>
      </c>
      <c r="B33" s="1">
        <v>0.33052577287495877</v>
      </c>
      <c r="C33" s="1">
        <v>51.204670838442603</v>
      </c>
      <c r="D33" s="1">
        <v>7.5906583231147966</v>
      </c>
      <c r="E33" s="6">
        <v>2</v>
      </c>
    </row>
    <row r="34" spans="1:5" x14ac:dyDescent="0.3">
      <c r="A34" s="1">
        <v>2.3394043489030722E-2</v>
      </c>
      <c r="B34" s="1">
        <v>0.70204971466167154</v>
      </c>
      <c r="C34" s="1">
        <v>-14.678808697806144</v>
      </c>
      <c r="D34" s="1">
        <v>61.754553261677302</v>
      </c>
      <c r="E34" s="6">
        <v>3</v>
      </c>
    </row>
    <row r="35" spans="1:5" x14ac:dyDescent="0.3">
      <c r="A35" s="1">
        <v>0.34671191816849473</v>
      </c>
      <c r="B35" s="1">
        <v>0.479412059065072</v>
      </c>
      <c r="C35" s="1">
        <v>-79.342383633698944</v>
      </c>
      <c r="D35" s="1">
        <v>86.003393862637097</v>
      </c>
      <c r="E35" s="6">
        <v>4</v>
      </c>
    </row>
    <row r="36" spans="1:5" x14ac:dyDescent="0.3">
      <c r="A36" s="1">
        <v>0.98262395042831019</v>
      </c>
      <c r="B36" s="1">
        <v>0.38732879228270028</v>
      </c>
      <c r="C36" s="1">
        <v>-31.73760495716898</v>
      </c>
      <c r="D36" s="1">
        <v>-26.524790085662037</v>
      </c>
      <c r="E36" s="6">
        <v>5</v>
      </c>
    </row>
    <row r="37" spans="1:5" x14ac:dyDescent="0.3">
      <c r="A37" s="1">
        <v>-0.95068723600576366</v>
      </c>
      <c r="B37" s="1">
        <v>-1.6530278955493759E-2</v>
      </c>
      <c r="C37" s="1">
        <v>79.298126261386756</v>
      </c>
      <c r="D37" s="1">
        <v>-29.298126261386763</v>
      </c>
      <c r="E37" s="6">
        <v>6</v>
      </c>
    </row>
    <row r="38" spans="1:5" x14ac:dyDescent="0.3">
      <c r="A38" s="1">
        <v>-0.34443347798590807</v>
      </c>
      <c r="B38" s="1">
        <v>3.4095273484316936E-2</v>
      </c>
      <c r="C38" s="1">
        <v>47.794650054455211</v>
      </c>
      <c r="D38" s="1">
        <v>4.6265800035236193</v>
      </c>
      <c r="E38" s="6">
        <v>7</v>
      </c>
    </row>
    <row r="39" spans="1:5" x14ac:dyDescent="0.3">
      <c r="A39" s="1">
        <v>6.3143127301422755E-2</v>
      </c>
      <c r="B39" s="1">
        <v>-2.1402124373783409E-2</v>
      </c>
      <c r="C39" s="1">
        <v>16.578279520847655</v>
      </c>
      <c r="D39" s="1">
        <v>34.738531969661132</v>
      </c>
      <c r="E39" s="6">
        <v>8</v>
      </c>
    </row>
    <row r="40" spans="1:5" x14ac:dyDescent="0.3">
      <c r="A40" s="1">
        <v>0.4011198360959175</v>
      </c>
      <c r="B40" s="1">
        <v>2.7161671032921643E-2</v>
      </c>
      <c r="C40" s="1">
        <v>-81.167087712501313</v>
      </c>
      <c r="D40" s="1">
        <v>80.943953406152772</v>
      </c>
      <c r="E40" s="6">
        <v>9</v>
      </c>
    </row>
    <row r="41" spans="1:5" x14ac:dyDescent="0.3">
      <c r="A41" s="1">
        <v>0.95971035130931481</v>
      </c>
      <c r="B41" s="1">
        <v>-3.2486396029402301E-2</v>
      </c>
      <c r="C41" s="1">
        <v>-30.591990512284251</v>
      </c>
      <c r="D41" s="1">
        <v>-18.752180266599268</v>
      </c>
      <c r="E41" s="6">
        <v>10</v>
      </c>
    </row>
    <row r="42" spans="1:5" x14ac:dyDescent="0.3">
      <c r="A42" s="1">
        <v>-0.94838111126828639</v>
      </c>
      <c r="B42" s="1">
        <v>-0.61706678015998651</v>
      </c>
      <c r="C42" s="1">
        <v>89.139685187804787</v>
      </c>
      <c r="D42" s="1">
        <v>-39.139685187804773</v>
      </c>
      <c r="E42" s="6">
        <v>11</v>
      </c>
    </row>
    <row r="43" spans="1:5" x14ac:dyDescent="0.3">
      <c r="A43" s="1">
        <v>-0.47624778763033737</v>
      </c>
      <c r="B43" s="1">
        <v>-0.9624279434871672</v>
      </c>
      <c r="C43" s="1">
        <v>81.270796460505636</v>
      </c>
      <c r="D43" s="1">
        <v>-31.270796460505625</v>
      </c>
      <c r="E43" s="6">
        <v>12</v>
      </c>
    </row>
    <row r="44" spans="1:5" x14ac:dyDescent="0.3">
      <c r="A44" s="1">
        <v>-5.4637558042816753E-2</v>
      </c>
      <c r="B44" s="1">
        <v>-0.2968193954312528</v>
      </c>
      <c r="C44" s="1">
        <v>62.731877902140837</v>
      </c>
      <c r="D44" s="1">
        <v>-12.731877902140837</v>
      </c>
      <c r="E44" s="6">
        <v>13</v>
      </c>
    </row>
    <row r="45" spans="1:5" x14ac:dyDescent="0.3">
      <c r="A45" s="1">
        <v>0.38454925315380428</v>
      </c>
      <c r="B45" s="1">
        <v>-0.19842347765440693</v>
      </c>
      <c r="C45" s="1">
        <v>11.358149012153834</v>
      </c>
      <c r="D45" s="1">
        <v>47.795961253691381</v>
      </c>
      <c r="E45" s="6">
        <v>14</v>
      </c>
    </row>
    <row r="46" spans="1:5" x14ac:dyDescent="0.3">
      <c r="A46" s="1">
        <v>0.9821009128777668</v>
      </c>
      <c r="B46" s="1">
        <v>-0.53954310602576461</v>
      </c>
      <c r="C46" s="1">
        <v>-28.806727525184456</v>
      </c>
      <c r="D46" s="1">
        <v>-27.613455050368909</v>
      </c>
      <c r="E46" s="6">
        <v>15</v>
      </c>
    </row>
    <row r="47" spans="1:5" x14ac:dyDescent="0.3">
      <c r="A47" s="1">
        <v>-0.9853834142143777</v>
      </c>
      <c r="B47" s="1">
        <v>0.21584168915153418</v>
      </c>
      <c r="C47" s="1">
        <v>59.756390236906299</v>
      </c>
      <c r="D47" s="1">
        <v>-9.5127804738125903</v>
      </c>
      <c r="E47" s="6">
        <v>1</v>
      </c>
    </row>
    <row r="48" spans="1:5" x14ac:dyDescent="0.3">
      <c r="A48" s="1">
        <v>-0.43395191660632937</v>
      </c>
      <c r="B48" s="1">
        <v>0.45961468993784382</v>
      </c>
      <c r="C48" s="1">
        <v>50.565865276772151</v>
      </c>
      <c r="D48" s="1">
        <v>8.8682694464556882</v>
      </c>
      <c r="E48" s="6">
        <v>2</v>
      </c>
    </row>
    <row r="49" spans="1:5" x14ac:dyDescent="0.3">
      <c r="A49" s="1">
        <v>-1.8325935034537028E-3</v>
      </c>
      <c r="B49" s="1">
        <v>0.57582814756411393</v>
      </c>
      <c r="C49" s="1">
        <v>-9.7251109744819448</v>
      </c>
      <c r="D49" s="1">
        <v>59.770925812068292</v>
      </c>
      <c r="E49" s="6">
        <v>3</v>
      </c>
    </row>
    <row r="50" spans="1:5" x14ac:dyDescent="0.3">
      <c r="A50" s="1">
        <v>0.39767118676645713</v>
      </c>
      <c r="B50" s="1">
        <v>0.76015118454751984</v>
      </c>
      <c r="C50" s="1">
        <v>-89.534237353291417</v>
      </c>
      <c r="D50" s="1">
        <v>89.825339007484288</v>
      </c>
      <c r="E50" s="6">
        <v>4</v>
      </c>
    </row>
    <row r="51" spans="1:5" x14ac:dyDescent="0.3">
      <c r="A51" s="1">
        <v>0.91008933034215389</v>
      </c>
      <c r="B51" s="1">
        <v>0.62298283837431256</v>
      </c>
      <c r="C51" s="1">
        <v>-38.991066965784611</v>
      </c>
      <c r="D51" s="1">
        <v>-12.017866068430777</v>
      </c>
      <c r="E51" s="6">
        <v>5</v>
      </c>
    </row>
    <row r="52" spans="1:5" x14ac:dyDescent="0.3">
      <c r="A52" s="1">
        <v>-0.99944363756788024</v>
      </c>
      <c r="B52" s="1">
        <v>2.9448481816675275E-2</v>
      </c>
      <c r="C52" s="1">
        <v>77.014325339707568</v>
      </c>
      <c r="D52" s="1">
        <v>-27.005069797292528</v>
      </c>
      <c r="E52" s="6">
        <v>6</v>
      </c>
    </row>
    <row r="53" spans="1:5" x14ac:dyDescent="0.3">
      <c r="A53" s="1">
        <v>-0.44307525988360524</v>
      </c>
      <c r="B53" s="1">
        <v>3.9124310533236249E-2</v>
      </c>
      <c r="C53" s="1">
        <v>59.544962644011534</v>
      </c>
      <c r="D53" s="1">
        <v>-7.8343622987763561</v>
      </c>
      <c r="E53" s="6">
        <v>7</v>
      </c>
    </row>
    <row r="54" spans="1:5" x14ac:dyDescent="0.3">
      <c r="A54" s="1">
        <v>4.319260308349486E-2</v>
      </c>
      <c r="B54" s="1">
        <v>-3.6352816181290354E-2</v>
      </c>
      <c r="C54" s="1">
        <v>22.940020817989343</v>
      </c>
      <c r="D54" s="1">
        <v>30.236966338367292</v>
      </c>
      <c r="E54" s="6">
        <v>8</v>
      </c>
    </row>
    <row r="55" spans="1:5" x14ac:dyDescent="0.3">
      <c r="A55" s="1">
        <v>0.42730504581684792</v>
      </c>
      <c r="B55" s="1">
        <v>8.1140095391114206E-3</v>
      </c>
      <c r="C55" s="1">
        <v>-76.394341113443417</v>
      </c>
      <c r="D55" s="1">
        <v>71.617247501398793</v>
      </c>
      <c r="E55" s="6">
        <v>9</v>
      </c>
    </row>
    <row r="56" spans="1:5" x14ac:dyDescent="0.3">
      <c r="A56" s="1">
        <v>0.98761799131109129</v>
      </c>
      <c r="B56" s="1">
        <v>-9.9347790508626764E-3</v>
      </c>
      <c r="C56" s="1">
        <v>-30.198186968911511</v>
      </c>
      <c r="D56" s="1">
        <v>-26.234447590681324</v>
      </c>
      <c r="E56" s="6">
        <v>10</v>
      </c>
    </row>
    <row r="57" spans="1:5" x14ac:dyDescent="0.3">
      <c r="A57" s="1">
        <v>-0.95732911537569798</v>
      </c>
      <c r="B57" s="1">
        <v>-0.56781586066413015</v>
      </c>
      <c r="C57" s="1">
        <v>89.288818589594968</v>
      </c>
      <c r="D57" s="1">
        <v>-39.288818589594968</v>
      </c>
      <c r="E57" s="6">
        <v>11</v>
      </c>
    </row>
    <row r="58" spans="1:5" x14ac:dyDescent="0.3">
      <c r="A58" s="1">
        <v>-0.5091964154052907</v>
      </c>
      <c r="B58" s="1">
        <v>-0.67054981534844771</v>
      </c>
      <c r="C58" s="1">
        <v>81.819940256754833</v>
      </c>
      <c r="D58" s="1">
        <v>-31.819940256754844</v>
      </c>
      <c r="E58" s="6">
        <v>12</v>
      </c>
    </row>
    <row r="59" spans="1:5" x14ac:dyDescent="0.3">
      <c r="A59" s="1">
        <v>6.0844648403981474E-2</v>
      </c>
      <c r="B59" s="1">
        <v>-0.44152333776087516</v>
      </c>
      <c r="C59" s="1">
        <v>52.394418949502317</v>
      </c>
      <c r="D59" s="1">
        <v>-0.8733027394027788</v>
      </c>
      <c r="E59" s="6">
        <v>13</v>
      </c>
    </row>
    <row r="60" spans="1:5" x14ac:dyDescent="0.3">
      <c r="A60" s="1">
        <v>0.4873427822854226</v>
      </c>
      <c r="B60" s="1">
        <v>-0.805137831183665</v>
      </c>
      <c r="C60" s="1">
        <v>4.1771478476384942</v>
      </c>
      <c r="D60" s="1">
        <v>38.354295695276988</v>
      </c>
      <c r="E60" s="6">
        <v>14</v>
      </c>
    </row>
    <row r="61" spans="1:5" x14ac:dyDescent="0.3">
      <c r="A61" s="1">
        <v>0.94571843750516915</v>
      </c>
      <c r="B61" s="1">
        <v>-0.8371959016850935</v>
      </c>
      <c r="C61" s="1">
        <v>-26.381229167011274</v>
      </c>
      <c r="D61" s="1">
        <v>-22.762458334022551</v>
      </c>
      <c r="E61" s="6">
        <v>15</v>
      </c>
    </row>
    <row r="62" spans="1:5" x14ac:dyDescent="0.3">
      <c r="A62" s="1">
        <v>-0.92041786059594721</v>
      </c>
      <c r="B62" s="1">
        <v>0.2951060367999398</v>
      </c>
      <c r="C62" s="1">
        <v>58.67363100993245</v>
      </c>
      <c r="D62" s="1">
        <v>-7.3472620198649068</v>
      </c>
      <c r="E62" s="6">
        <v>1</v>
      </c>
    </row>
    <row r="63" spans="1:5" x14ac:dyDescent="0.3">
      <c r="A63" s="1">
        <v>-0.33307718216204213</v>
      </c>
      <c r="B63" s="1">
        <v>0.77723992797327301</v>
      </c>
      <c r="C63" s="1">
        <v>39.961577324306319</v>
      </c>
      <c r="D63" s="1">
        <v>18.365352229744737</v>
      </c>
      <c r="E63" s="6">
        <v>2</v>
      </c>
    </row>
    <row r="64" spans="1:5" x14ac:dyDescent="0.3">
      <c r="A64" s="1">
        <v>-4.4949804076502675E-2</v>
      </c>
      <c r="B64" s="1">
        <v>0.9863842492225886</v>
      </c>
      <c r="C64" s="1">
        <v>-3.2575293885245991</v>
      </c>
      <c r="D64" s="1">
        <v>54.381274490437171</v>
      </c>
      <c r="E64" s="6">
        <v>3</v>
      </c>
    </row>
    <row r="65" spans="1:5" x14ac:dyDescent="0.3">
      <c r="A65" s="1">
        <v>0.34100295474050268</v>
      </c>
      <c r="B65" s="1">
        <v>0.33906856516849104</v>
      </c>
      <c r="C65" s="1">
        <v>-78.20059094810054</v>
      </c>
      <c r="D65" s="1">
        <v>85.575221605537706</v>
      </c>
      <c r="E65" s="6">
        <v>4</v>
      </c>
    </row>
    <row r="66" spans="1:5" x14ac:dyDescent="0.3">
      <c r="A66" s="1">
        <v>0.98065180181514888</v>
      </c>
      <c r="B66" s="1">
        <v>0.52021585266491821</v>
      </c>
      <c r="C66" s="1">
        <v>-31.934819818485114</v>
      </c>
      <c r="D66" s="1">
        <v>-26.130360363029776</v>
      </c>
      <c r="E66" s="6">
        <v>5</v>
      </c>
    </row>
    <row r="67" spans="1:5" x14ac:dyDescent="0.3">
      <c r="A67" s="1">
        <v>-0.9883911669039136</v>
      </c>
      <c r="B67" s="1">
        <v>1.8463866980568441E-2</v>
      </c>
      <c r="C67" s="1">
        <v>77.291036879692953</v>
      </c>
      <c r="D67" s="1">
        <v>-27.104764350433378</v>
      </c>
      <c r="E67" s="6">
        <v>6</v>
      </c>
    </row>
    <row r="68" spans="1:5" x14ac:dyDescent="0.3">
      <c r="A68" s="1">
        <v>-0.40352058188800766</v>
      </c>
      <c r="B68" s="1">
        <v>-9.5726496265532979E-4</v>
      </c>
      <c r="C68" s="1">
        <v>60.353287076859715</v>
      </c>
      <c r="D68" s="1">
        <v>-10.353287076859718</v>
      </c>
      <c r="E68" s="6">
        <v>7</v>
      </c>
    </row>
    <row r="69" spans="1:5" x14ac:dyDescent="0.3">
      <c r="A69" s="1">
        <v>-1.923942617152475E-2</v>
      </c>
      <c r="B69" s="1">
        <v>-3.8204026891187168E-2</v>
      </c>
      <c r="C69" s="1">
        <v>38.737925869673795</v>
      </c>
      <c r="D69" s="1">
        <v>18.641949909704937</v>
      </c>
      <c r="E69" s="6">
        <v>8</v>
      </c>
    </row>
    <row r="70" spans="1:5" x14ac:dyDescent="0.3">
      <c r="A70" s="1">
        <v>0.46683524315625513</v>
      </c>
      <c r="B70" s="1">
        <v>3.2820479003342028E-2</v>
      </c>
      <c r="C70" s="1">
        <v>-72.232330382855594</v>
      </c>
      <c r="D70" s="1">
        <v>61.300680100641067</v>
      </c>
      <c r="E70" s="6">
        <v>9</v>
      </c>
    </row>
    <row r="71" spans="1:5" x14ac:dyDescent="0.3">
      <c r="A71" s="1">
        <v>0.89999058966543011</v>
      </c>
      <c r="B71" s="1">
        <v>2.8387594373998772E-2</v>
      </c>
      <c r="C71" s="1">
        <v>-43.12462930880573</v>
      </c>
      <c r="D71" s="1">
        <v>-2.4524667993157965</v>
      </c>
      <c r="E71" s="6">
        <v>10</v>
      </c>
    </row>
    <row r="72" spans="1:5" x14ac:dyDescent="0.3">
      <c r="A72" s="1">
        <v>-0.9095130009499387</v>
      </c>
      <c r="B72" s="1">
        <v>-0.18032486725514196</v>
      </c>
      <c r="C72" s="1">
        <v>85.451734144794713</v>
      </c>
      <c r="D72" s="1">
        <v>-35.45173414479472</v>
      </c>
      <c r="E72" s="6">
        <v>11</v>
      </c>
    </row>
    <row r="73" spans="1:5" x14ac:dyDescent="0.3">
      <c r="A73" s="1">
        <v>-0.50968278973454895</v>
      </c>
      <c r="B73" s="1">
        <v>-0.49700662212723057</v>
      </c>
      <c r="C73" s="1">
        <v>81.828046495575819</v>
      </c>
      <c r="D73" s="1">
        <v>-31.828046495575816</v>
      </c>
      <c r="E73" s="6">
        <v>12</v>
      </c>
    </row>
    <row r="74" spans="1:5" x14ac:dyDescent="0.3">
      <c r="A74" s="1">
        <v>-1.4041200583286742E-2</v>
      </c>
      <c r="B74" s="1">
        <v>-0.44559987027635706</v>
      </c>
      <c r="C74" s="1">
        <v>60.702060029164343</v>
      </c>
      <c r="D74" s="1">
        <v>-10.702060029164338</v>
      </c>
      <c r="E74" s="6">
        <v>13</v>
      </c>
    </row>
    <row r="75" spans="1:5" x14ac:dyDescent="0.3">
      <c r="A75" s="1">
        <v>0.49095150010152366</v>
      </c>
      <c r="B75" s="1">
        <v>-0.66231140691516333</v>
      </c>
      <c r="C75" s="1">
        <v>3.9365666598984239</v>
      </c>
      <c r="D75" s="1">
        <v>37.87313331979685</v>
      </c>
      <c r="E75" s="6">
        <v>14</v>
      </c>
    </row>
    <row r="76" spans="1:5" x14ac:dyDescent="0.3">
      <c r="A76" s="1">
        <v>0.97188554834207286</v>
      </c>
      <c r="B76" s="1">
        <v>-0.28596474393985549</v>
      </c>
      <c r="C76" s="1">
        <v>-28.125703222804859</v>
      </c>
      <c r="D76" s="1">
        <v>-26.251406445609714</v>
      </c>
      <c r="E76" s="6">
        <v>15</v>
      </c>
    </row>
    <row r="77" spans="1:5" x14ac:dyDescent="0.3">
      <c r="A77" s="1">
        <v>-0.95310573487066785</v>
      </c>
      <c r="B77" s="1">
        <v>0.26055610286322961</v>
      </c>
      <c r="C77" s="1">
        <v>59.218428914511129</v>
      </c>
      <c r="D77" s="1">
        <v>-8.4368578290222622</v>
      </c>
      <c r="E77" s="6">
        <v>1</v>
      </c>
    </row>
    <row r="78" spans="1:5" x14ac:dyDescent="0.3">
      <c r="A78" s="1">
        <v>-0.48415004794639627</v>
      </c>
      <c r="B78" s="1">
        <v>0.24637236517421857</v>
      </c>
      <c r="C78" s="1">
        <v>51.402500799106605</v>
      </c>
      <c r="D78" s="1">
        <v>7.1949984017867914</v>
      </c>
      <c r="E78" s="6">
        <v>2</v>
      </c>
    </row>
    <row r="79" spans="1:5" x14ac:dyDescent="0.3">
      <c r="A79" s="1">
        <v>7.3908787742787876E-2</v>
      </c>
      <c r="B79" s="1">
        <v>0.8911778433814318</v>
      </c>
      <c r="C79" s="1">
        <v>-24.781757548557579</v>
      </c>
      <c r="D79" s="1">
        <v>65.543159080709103</v>
      </c>
      <c r="E79" s="6">
        <v>3</v>
      </c>
    </row>
    <row r="80" spans="1:5" x14ac:dyDescent="0.3">
      <c r="A80" s="1">
        <v>0.39554125977153914</v>
      </c>
      <c r="B80" s="1">
        <v>0.29632086148903791</v>
      </c>
      <c r="C80" s="1">
        <v>-89.108251954307832</v>
      </c>
      <c r="D80" s="1">
        <v>89.66559448286543</v>
      </c>
      <c r="E80" s="6">
        <v>4</v>
      </c>
    </row>
    <row r="81" spans="1:5" x14ac:dyDescent="0.3">
      <c r="A81" s="1">
        <v>0.96016844782572996</v>
      </c>
      <c r="B81" s="1">
        <v>0.4332513609237878</v>
      </c>
      <c r="C81" s="1">
        <v>-33.983155217427004</v>
      </c>
      <c r="D81" s="1">
        <v>-22.033689565145991</v>
      </c>
      <c r="E81" s="6">
        <v>5</v>
      </c>
    </row>
    <row r="82" spans="1:5" x14ac:dyDescent="0.3">
      <c r="A82" s="1">
        <v>-0.99022086172590085</v>
      </c>
      <c r="B82" s="1">
        <v>3.0700178538081664E-2</v>
      </c>
      <c r="C82" s="1">
        <v>76.237694315090764</v>
      </c>
      <c r="D82" s="1">
        <v>-26.079853823820386</v>
      </c>
      <c r="E82" s="6">
        <v>6</v>
      </c>
    </row>
    <row r="83" spans="1:5" x14ac:dyDescent="0.3">
      <c r="A83" s="1">
        <v>-0.39019453969846651</v>
      </c>
      <c r="B83" s="1">
        <v>2.6704091414350019E-2</v>
      </c>
      <c r="C83" s="1">
        <v>56.390399334069954</v>
      </c>
      <c r="D83" s="1">
        <v>-4.8839170185148051</v>
      </c>
      <c r="E83" s="6">
        <v>7</v>
      </c>
    </row>
    <row r="84" spans="1:5" x14ac:dyDescent="0.3">
      <c r="A84" s="1">
        <v>-6.4774618317074428E-3</v>
      </c>
      <c r="B84" s="1">
        <v>2.0843640473627946E-2</v>
      </c>
      <c r="C84" s="1">
        <v>26.746332179828908</v>
      </c>
      <c r="D84" s="1">
        <v>32.087323988944107</v>
      </c>
      <c r="E84" s="6">
        <v>8</v>
      </c>
    </row>
    <row r="85" spans="1:5" x14ac:dyDescent="0.3">
      <c r="A85" s="1">
        <v>0.42433109502472643</v>
      </c>
      <c r="B85" s="1">
        <v>-7.2968694982135165E-3</v>
      </c>
      <c r="C85" s="1">
        <v>-73.34985267121067</v>
      </c>
      <c r="D85" s="1">
        <v>71.082210088671829</v>
      </c>
      <c r="E85" s="6">
        <v>9</v>
      </c>
    </row>
    <row r="86" spans="1:5" x14ac:dyDescent="0.3">
      <c r="A86" s="1">
        <v>0.90810322579450709</v>
      </c>
      <c r="B86" s="1">
        <v>2.5885643218596009E-2</v>
      </c>
      <c r="C86" s="1">
        <v>-42.252197381968649</v>
      </c>
      <c r="D86" s="1">
        <v>-4.2789351978715437</v>
      </c>
      <c r="E86" s="6">
        <v>10</v>
      </c>
    </row>
    <row r="87" spans="1:5" x14ac:dyDescent="0.3">
      <c r="A87" s="1">
        <v>-0.90083826238899778</v>
      </c>
      <c r="B87" s="1">
        <v>-0.6830404989841159</v>
      </c>
      <c r="C87" s="1">
        <v>88.347304373149953</v>
      </c>
      <c r="D87" s="1">
        <v>-38.347304373149967</v>
      </c>
      <c r="E87" s="6">
        <v>11</v>
      </c>
    </row>
    <row r="88" spans="1:5" x14ac:dyDescent="0.3">
      <c r="A88" s="1">
        <v>-0.51757039769314162</v>
      </c>
      <c r="B88" s="1">
        <v>-0.90724070590291317</v>
      </c>
      <c r="C88" s="1">
        <v>81.959506628219032</v>
      </c>
      <c r="D88" s="1">
        <v>-31.959506628219025</v>
      </c>
      <c r="E88" s="6">
        <v>12</v>
      </c>
    </row>
    <row r="89" spans="1:5" x14ac:dyDescent="0.3">
      <c r="A89" s="1">
        <v>-4.8764958379416169E-2</v>
      </c>
      <c r="B89" s="1">
        <v>-0.7810544555758685</v>
      </c>
      <c r="C89" s="1">
        <v>62.438247918970802</v>
      </c>
      <c r="D89" s="1">
        <v>-12.438247918970808</v>
      </c>
      <c r="E89" s="6">
        <v>13</v>
      </c>
    </row>
    <row r="90" spans="1:5" x14ac:dyDescent="0.3">
      <c r="A90" s="1">
        <v>0.35865732825817753</v>
      </c>
      <c r="B90" s="1">
        <v>-0.57225354792742933</v>
      </c>
      <c r="C90" s="1">
        <v>15.167833967727812</v>
      </c>
      <c r="D90" s="1">
        <v>43.798599238726631</v>
      </c>
      <c r="E90" s="6">
        <v>14</v>
      </c>
    </row>
    <row r="91" spans="1:5" x14ac:dyDescent="0.3">
      <c r="A91" s="1">
        <v>0.8937601790621883</v>
      </c>
      <c r="B91" s="1">
        <v>-0.23395270999596762</v>
      </c>
      <c r="C91" s="1">
        <v>-22.917345270812554</v>
      </c>
      <c r="D91" s="1">
        <v>-15.834690541625108</v>
      </c>
      <c r="E91" s="6">
        <v>15</v>
      </c>
    </row>
    <row r="92" spans="1:5" x14ac:dyDescent="0.3">
      <c r="A92" s="1">
        <v>-0.99711130209952359</v>
      </c>
      <c r="B92" s="1">
        <v>0.4309788935120864</v>
      </c>
      <c r="C92" s="1">
        <v>59.951855034992057</v>
      </c>
      <c r="D92" s="1">
        <v>-9.9037100699841183</v>
      </c>
      <c r="E92" s="6">
        <v>1</v>
      </c>
    </row>
    <row r="93" spans="1:5" x14ac:dyDescent="0.3">
      <c r="A93" s="1">
        <v>-0.37140362121709958</v>
      </c>
      <c r="B93" s="1">
        <v>0.95775281600810891</v>
      </c>
      <c r="C93" s="1">
        <v>45.710543182564933</v>
      </c>
      <c r="D93" s="1">
        <v>13.574547347862556</v>
      </c>
      <c r="E93" s="6">
        <v>2</v>
      </c>
    </row>
    <row r="94" spans="1:5" x14ac:dyDescent="0.3">
      <c r="A94" s="1">
        <v>2.50093027253349E-2</v>
      </c>
      <c r="B94" s="1">
        <v>0.85914000211201247</v>
      </c>
      <c r="C94" s="1">
        <v>-15.001860545066979</v>
      </c>
      <c r="D94" s="1">
        <v>61.875697704400118</v>
      </c>
      <c r="E94" s="6">
        <v>3</v>
      </c>
    </row>
    <row r="95" spans="1:5" x14ac:dyDescent="0.3">
      <c r="A95" s="1">
        <v>0.37881249475789275</v>
      </c>
      <c r="B95" s="1">
        <v>0.29655874465672355</v>
      </c>
      <c r="C95" s="1">
        <v>-85.762498951578536</v>
      </c>
      <c r="D95" s="1">
        <v>88.410937106841942</v>
      </c>
      <c r="E95" s="6">
        <v>4</v>
      </c>
    </row>
    <row r="96" spans="1:5" x14ac:dyDescent="0.3">
      <c r="A96" s="1">
        <v>0.93958085124873825</v>
      </c>
      <c r="B96" s="1">
        <v>0.75083319191269959</v>
      </c>
      <c r="C96" s="1">
        <v>-36.041914875126174</v>
      </c>
      <c r="D96" s="1">
        <v>-17.916170249747651</v>
      </c>
      <c r="E96" s="6">
        <v>5</v>
      </c>
    </row>
    <row r="97" spans="1:5" x14ac:dyDescent="0.3">
      <c r="A97" s="1">
        <v>-0.99856404285804878</v>
      </c>
      <c r="B97" s="1">
        <v>2.661555479874881E-2</v>
      </c>
      <c r="C97" s="1">
        <v>77.232030377456482</v>
      </c>
      <c r="D97" s="1">
        <v>-27.208211766771068</v>
      </c>
      <c r="E97" s="6">
        <v>6</v>
      </c>
    </row>
    <row r="98" spans="1:5" x14ac:dyDescent="0.3">
      <c r="A98" s="1">
        <v>-0.34397049647244615</v>
      </c>
      <c r="B98" s="1">
        <v>2.2739818064924221E-2</v>
      </c>
      <c r="C98" s="1">
        <v>49.165586033782397</v>
      </c>
      <c r="D98" s="1">
        <v>2.9019813876494216</v>
      </c>
      <c r="E98" s="6">
        <v>7</v>
      </c>
    </row>
    <row r="99" spans="1:5" x14ac:dyDescent="0.3">
      <c r="A99" s="1">
        <v>-5.7327666093787005E-3</v>
      </c>
      <c r="B99" s="1">
        <v>-2.7255972748707925E-2</v>
      </c>
      <c r="C99" s="1">
        <v>35.089076786802202</v>
      </c>
      <c r="D99" s="1">
        <v>23.307447991347409</v>
      </c>
      <c r="E99" s="6">
        <v>8</v>
      </c>
    </row>
    <row r="100" spans="1:5" x14ac:dyDescent="0.3">
      <c r="A100" s="1">
        <v>0.49220578993808728</v>
      </c>
      <c r="B100" s="1">
        <v>-3.5963385090605121E-2</v>
      </c>
      <c r="C100" s="1">
        <v>-55.866377480989684</v>
      </c>
      <c r="D100" s="1">
        <v>50.013218764252841</v>
      </c>
      <c r="E100" s="6">
        <v>9</v>
      </c>
    </row>
    <row r="101" spans="1:5" x14ac:dyDescent="0.3">
      <c r="A101" s="1">
        <v>0.93528534104910843</v>
      </c>
      <c r="B101" s="1">
        <v>3.3455823010581573E-3</v>
      </c>
      <c r="C101" s="1">
        <v>-36.189488504299213</v>
      </c>
      <c r="D101" s="1">
        <v>-16.577361883528088</v>
      </c>
      <c r="E101" s="6">
        <v>10</v>
      </c>
    </row>
    <row r="102" spans="1:5" x14ac:dyDescent="0.3">
      <c r="A102" s="1">
        <v>-0.89648022699699137</v>
      </c>
      <c r="B102" s="1">
        <v>-0.54032376509307878</v>
      </c>
      <c r="C102" s="1">
        <v>88.274670449949852</v>
      </c>
      <c r="D102" s="1">
        <v>-38.274670449949852</v>
      </c>
      <c r="E102" s="6">
        <v>11</v>
      </c>
    </row>
    <row r="103" spans="1:5" x14ac:dyDescent="0.3">
      <c r="A103" s="1">
        <v>-0.51462173178400072</v>
      </c>
      <c r="B103" s="1">
        <v>-0.20217770276946134</v>
      </c>
      <c r="C103" s="1">
        <v>81.910362196400001</v>
      </c>
      <c r="D103" s="1">
        <v>-31.910362196400012</v>
      </c>
      <c r="E103" s="6">
        <v>12</v>
      </c>
    </row>
    <row r="104" spans="1:5" x14ac:dyDescent="0.3">
      <c r="A104" s="1">
        <v>-7.9538064286879123E-2</v>
      </c>
      <c r="B104" s="1">
        <v>-0.38116026143093551</v>
      </c>
      <c r="C104" s="1">
        <v>63.976903214343956</v>
      </c>
      <c r="D104" s="1">
        <v>-13.976903214343956</v>
      </c>
      <c r="E104" s="6">
        <v>13</v>
      </c>
    </row>
    <row r="105" spans="1:5" x14ac:dyDescent="0.3">
      <c r="A105" s="1">
        <v>0.51294166771238114</v>
      </c>
      <c r="B105" s="1">
        <v>-0.56649963721391849</v>
      </c>
      <c r="C105" s="1">
        <v>2.4705554858412588</v>
      </c>
      <c r="D105" s="1">
        <v>34.941110971682519</v>
      </c>
      <c r="E105" s="6">
        <v>14</v>
      </c>
    </row>
    <row r="106" spans="1:5" x14ac:dyDescent="0.3">
      <c r="A106" s="1">
        <v>0.99846332022823181</v>
      </c>
      <c r="B106" s="1">
        <v>-0.60913849489519067</v>
      </c>
      <c r="C106" s="1">
        <v>-29.89755468188212</v>
      </c>
      <c r="D106" s="1">
        <v>-29.79510936376424</v>
      </c>
      <c r="E106" s="6">
        <v>15</v>
      </c>
    </row>
    <row r="107" spans="1:5" x14ac:dyDescent="0.3">
      <c r="A107" s="1">
        <v>-0.94573207089803246</v>
      </c>
      <c r="B107" s="1">
        <v>0.19734719953119834</v>
      </c>
      <c r="C107" s="1">
        <v>59.377332683342722</v>
      </c>
      <c r="D107" s="1">
        <v>-8.4962408077171094</v>
      </c>
      <c r="E107" s="6">
        <v>1</v>
      </c>
    </row>
    <row r="108" spans="1:5" x14ac:dyDescent="0.3">
      <c r="A108" s="1">
        <v>-0.48827211065702669</v>
      </c>
      <c r="B108" s="1">
        <v>0.27682563642178365</v>
      </c>
      <c r="C108" s="1">
        <v>51.471201844283776</v>
      </c>
      <c r="D108" s="1">
        <v>7.0575963114324445</v>
      </c>
      <c r="E108" s="6">
        <v>2</v>
      </c>
    </row>
    <row r="109" spans="1:5" x14ac:dyDescent="0.3">
      <c r="A109" s="1">
        <v>7.6913408795707114E-2</v>
      </c>
      <c r="B109" s="1">
        <v>0.26007637138770467</v>
      </c>
      <c r="C109" s="1">
        <v>-25.38268175914142</v>
      </c>
      <c r="D109" s="1">
        <v>65.768505659678027</v>
      </c>
      <c r="E109" s="6">
        <v>3</v>
      </c>
    </row>
    <row r="110" spans="1:5" x14ac:dyDescent="0.3">
      <c r="A110" s="1">
        <v>0.50961265712873471</v>
      </c>
      <c r="B110" s="1">
        <v>0.23791230977719652</v>
      </c>
      <c r="C110" s="1">
        <v>-79.038734287126545</v>
      </c>
      <c r="D110" s="1">
        <v>68.077468574253061</v>
      </c>
      <c r="E110" s="6">
        <v>4</v>
      </c>
    </row>
    <row r="111" spans="1:5" x14ac:dyDescent="0.3">
      <c r="A111" s="1">
        <v>0.99873409431770632</v>
      </c>
      <c r="B111" s="1">
        <v>0.51623332913801145</v>
      </c>
      <c r="C111" s="1">
        <v>-30.126590568229368</v>
      </c>
      <c r="D111" s="1">
        <v>-29.746818863541264</v>
      </c>
      <c r="E111" s="6">
        <v>5</v>
      </c>
    </row>
    <row r="112" spans="1:5" x14ac:dyDescent="0.3">
      <c r="A112" s="1">
        <v>-0.9639671608461422</v>
      </c>
      <c r="B112" s="1">
        <v>1.3855831682039008E-2</v>
      </c>
      <c r="C112" s="1">
        <v>76.082240257759921</v>
      </c>
      <c r="D112" s="1">
        <v>-25.546089695145429</v>
      </c>
      <c r="E112" s="6">
        <v>6</v>
      </c>
    </row>
    <row r="113" spans="1:5" x14ac:dyDescent="0.3">
      <c r="A113" s="1">
        <v>-0.37218156613299247</v>
      </c>
      <c r="B113" s="1">
        <v>-7.3142401050157596E-3</v>
      </c>
      <c r="C113" s="1">
        <v>58.73739167495566</v>
      </c>
      <c r="D113" s="1">
        <v>-8.08933150512674</v>
      </c>
      <c r="E113" s="6">
        <v>7</v>
      </c>
    </row>
    <row r="114" spans="1:5" x14ac:dyDescent="0.3">
      <c r="A114" s="1">
        <v>-5.8882383560994837E-2</v>
      </c>
      <c r="B114" s="1">
        <v>2.3048286717550832E-2</v>
      </c>
      <c r="C114" s="1">
        <v>31.715871184916207</v>
      </c>
      <c r="D114" s="1">
        <v>26.151247492707714</v>
      </c>
      <c r="E114" s="6">
        <v>8</v>
      </c>
    </row>
    <row r="115" spans="1:5" x14ac:dyDescent="0.3">
      <c r="A115" s="1">
        <v>0.33224554381015392</v>
      </c>
      <c r="B115" s="1">
        <v>3.2277652461358865E-2</v>
      </c>
      <c r="C115" s="1">
        <v>-58.593684826023818</v>
      </c>
      <c r="D115" s="1">
        <v>72.377253860213301</v>
      </c>
      <c r="E115" s="6">
        <v>9</v>
      </c>
    </row>
    <row r="116" spans="1:5" x14ac:dyDescent="0.3">
      <c r="A116" s="1">
        <v>0.96480113459291605</v>
      </c>
      <c r="B116" s="1">
        <v>-1.5745281071021661E-4</v>
      </c>
      <c r="C116" s="1">
        <v>-32.897186520174081</v>
      </c>
      <c r="D116" s="1">
        <v>-23.494137214899947</v>
      </c>
      <c r="E116" s="6">
        <v>10</v>
      </c>
    </row>
    <row r="117" spans="1:5" x14ac:dyDescent="0.3">
      <c r="A117" s="1">
        <v>-0.91559346216986692</v>
      </c>
      <c r="B117" s="1">
        <v>-0.87987376364097447</v>
      </c>
      <c r="C117" s="1">
        <v>88.59322436949779</v>
      </c>
      <c r="D117" s="1">
        <v>-38.593224369497776</v>
      </c>
      <c r="E117" s="6">
        <v>11</v>
      </c>
    </row>
    <row r="118" spans="1:5" x14ac:dyDescent="0.3">
      <c r="A118" s="1">
        <v>-0.40085945325050698</v>
      </c>
      <c r="B118" s="1">
        <v>-0.60872338968085593</v>
      </c>
      <c r="C118" s="1">
        <v>80.014324220841786</v>
      </c>
      <c r="D118" s="1">
        <v>-30.014324220841782</v>
      </c>
      <c r="E118" s="6">
        <v>12</v>
      </c>
    </row>
    <row r="119" spans="1:5" x14ac:dyDescent="0.3">
      <c r="A119" s="1">
        <v>-7.6760256862459991E-2</v>
      </c>
      <c r="B119" s="1">
        <v>-0.57869821580656833</v>
      </c>
      <c r="C119" s="1">
        <v>63.838012843122996</v>
      </c>
      <c r="D119" s="1">
        <v>-13.838012843123</v>
      </c>
      <c r="E119" s="6">
        <v>13</v>
      </c>
    </row>
    <row r="120" spans="1:5" x14ac:dyDescent="0.3">
      <c r="A120" s="1">
        <v>0.43574324208035348</v>
      </c>
      <c r="B120" s="1">
        <v>-0.46983088240420612</v>
      </c>
      <c r="C120" s="1">
        <v>7.6171171946431029</v>
      </c>
      <c r="D120" s="1">
        <v>45.234234389286208</v>
      </c>
      <c r="E120" s="6">
        <v>14</v>
      </c>
    </row>
    <row r="121" spans="1:5" x14ac:dyDescent="0.3">
      <c r="A121" s="1">
        <v>0.93280470145000316</v>
      </c>
      <c r="B121" s="1">
        <v>-0.22527452858593566</v>
      </c>
      <c r="C121" s="1">
        <v>-25.520313430000211</v>
      </c>
      <c r="D121" s="1">
        <v>-21.040626860000422</v>
      </c>
      <c r="E121" s="6">
        <v>15</v>
      </c>
    </row>
    <row r="122" spans="1:5" x14ac:dyDescent="0.3">
      <c r="A122" s="1">
        <v>-0.91504991091322752</v>
      </c>
      <c r="B122" s="1">
        <v>0.42090490659993396</v>
      </c>
      <c r="C122" s="1">
        <v>58.584165181887123</v>
      </c>
      <c r="D122" s="1">
        <v>-7.1683303637742508</v>
      </c>
      <c r="E122" s="6">
        <v>1</v>
      </c>
    </row>
    <row r="123" spans="1:5" x14ac:dyDescent="0.3">
      <c r="A123" s="1">
        <v>-0.3428829648002405</v>
      </c>
      <c r="B123" s="1">
        <v>0.54278221939457671</v>
      </c>
      <c r="C123" s="1">
        <v>41.432444720036074</v>
      </c>
      <c r="D123" s="1">
        <v>17.139629399969941</v>
      </c>
      <c r="E123" s="6">
        <v>2</v>
      </c>
    </row>
    <row r="124" spans="1:5" x14ac:dyDescent="0.3">
      <c r="A124" s="1">
        <v>4.3015248253633287E-2</v>
      </c>
      <c r="B124" s="1">
        <v>0.75926547741262751</v>
      </c>
      <c r="C124" s="1">
        <v>-18.603049650726657</v>
      </c>
      <c r="D124" s="1">
        <v>63.226143619022501</v>
      </c>
      <c r="E124" s="6">
        <v>3</v>
      </c>
    </row>
    <row r="125" spans="1:5" x14ac:dyDescent="0.3">
      <c r="A125" s="1">
        <v>0.39445424588965733</v>
      </c>
      <c r="B125" s="1">
        <v>0.95158673525406789</v>
      </c>
      <c r="C125" s="1">
        <v>-88.890849177931457</v>
      </c>
      <c r="D125" s="1">
        <v>89.584068441724298</v>
      </c>
      <c r="E125" s="6">
        <v>4</v>
      </c>
    </row>
    <row r="126" spans="1:5" x14ac:dyDescent="0.3">
      <c r="A126" s="1">
        <v>0.90927047315181553</v>
      </c>
      <c r="B126" s="1">
        <v>0.61525154937166415</v>
      </c>
      <c r="C126" s="1">
        <v>-39.072952684818446</v>
      </c>
      <c r="D126" s="1">
        <v>-11.854094630363106</v>
      </c>
      <c r="E126" s="6">
        <v>5</v>
      </c>
    </row>
    <row r="127" spans="1:5" x14ac:dyDescent="0.3">
      <c r="A127" s="1">
        <v>-0.8949652479018475</v>
      </c>
      <c r="B127" s="1">
        <v>7.3168945265422516E-3</v>
      </c>
      <c r="C127" s="1">
        <v>75.033044835648909</v>
      </c>
      <c r="D127" s="1">
        <v>-24.69214350045733</v>
      </c>
      <c r="E127" s="6">
        <v>6</v>
      </c>
    </row>
    <row r="128" spans="1:5" x14ac:dyDescent="0.3">
      <c r="A128" s="1">
        <v>-0.42253788667227893</v>
      </c>
      <c r="B128" s="1">
        <v>2.5195786628561707E-2</v>
      </c>
      <c r="C128" s="1">
        <v>59.527007712862449</v>
      </c>
      <c r="D128" s="1">
        <v>-8.3552483163843583</v>
      </c>
      <c r="E128" s="6">
        <v>7</v>
      </c>
    </row>
    <row r="129" spans="1:5" x14ac:dyDescent="0.3">
      <c r="A129" s="1">
        <v>3.4402964243089723E-2</v>
      </c>
      <c r="B129" s="1">
        <v>1.3294728442553937E-2</v>
      </c>
      <c r="C129" s="1">
        <v>12.261665483330235</v>
      </c>
      <c r="D129" s="1">
        <v>39.076325501543067</v>
      </c>
      <c r="E129" s="6">
        <v>8</v>
      </c>
    </row>
    <row r="130" spans="1:5" x14ac:dyDescent="0.3">
      <c r="A130" s="1">
        <v>0.35321899956001329</v>
      </c>
      <c r="B130" s="1">
        <v>-2.8080007130950255E-2</v>
      </c>
      <c r="C130" s="1">
        <v>-46.063733910421149</v>
      </c>
      <c r="D130" s="1">
        <v>63.316907552091784</v>
      </c>
      <c r="E130" s="6">
        <v>9</v>
      </c>
    </row>
    <row r="131" spans="1:5" x14ac:dyDescent="0.3">
      <c r="A131" s="1">
        <v>0.94460879187455693</v>
      </c>
      <c r="B131" s="1">
        <v>-3.5310585523912835E-2</v>
      </c>
      <c r="C131" s="1">
        <v>-30.779299077453423</v>
      </c>
      <c r="D131" s="1">
        <v>-15.193317528384956</v>
      </c>
      <c r="E131" s="6">
        <v>10</v>
      </c>
    </row>
    <row r="132" spans="1:5" x14ac:dyDescent="0.3">
      <c r="A132" s="1">
        <v>-0.99410863814497996</v>
      </c>
      <c r="B132" s="1">
        <v>-0.24410627877318714</v>
      </c>
      <c r="C132" s="1">
        <v>89.901810635749669</v>
      </c>
      <c r="D132" s="1">
        <v>-39.901810635749662</v>
      </c>
      <c r="E132" s="6">
        <v>11</v>
      </c>
    </row>
    <row r="133" spans="1:5" x14ac:dyDescent="0.3">
      <c r="A133" s="1">
        <v>-0.37086409795908615</v>
      </c>
      <c r="B133" s="1">
        <v>-0.74665114577366576</v>
      </c>
      <c r="C133" s="1">
        <v>78.543204897954311</v>
      </c>
      <c r="D133" s="1">
        <v>-28.543204897954308</v>
      </c>
      <c r="E133" s="6">
        <v>12</v>
      </c>
    </row>
    <row r="134" spans="1:5" x14ac:dyDescent="0.3">
      <c r="A134" s="1">
        <v>5.7915280979319209E-2</v>
      </c>
      <c r="B134" s="1">
        <v>-0.59454761486110907</v>
      </c>
      <c r="C134" s="1">
        <v>52.760589877585105</v>
      </c>
      <c r="D134" s="1">
        <v>-1.3127078531021201</v>
      </c>
      <c r="E134" s="6">
        <v>13</v>
      </c>
    </row>
    <row r="135" spans="1:5" x14ac:dyDescent="0.3">
      <c r="A135" s="1">
        <v>0.42255613648926593</v>
      </c>
      <c r="B135" s="1">
        <v>-0.34470968966206483</v>
      </c>
      <c r="C135" s="1">
        <v>8.4962575673822727</v>
      </c>
      <c r="D135" s="1">
        <v>46.992515134764545</v>
      </c>
      <c r="E135" s="6">
        <v>14</v>
      </c>
    </row>
    <row r="136" spans="1:5" x14ac:dyDescent="0.3">
      <c r="A136" s="1">
        <v>0.95127283039119048</v>
      </c>
      <c r="B136" s="1">
        <v>-0.30448214647207428</v>
      </c>
      <c r="C136" s="1">
        <v>-26.751522026079368</v>
      </c>
      <c r="D136" s="1">
        <v>-23.503044052158732</v>
      </c>
      <c r="E136" s="6">
        <v>15</v>
      </c>
    </row>
    <row r="137" spans="1:5" x14ac:dyDescent="0.3">
      <c r="A137" s="1">
        <v>-0.92006345706902881</v>
      </c>
      <c r="B137" s="1">
        <v>0.67086906581147121</v>
      </c>
      <c r="C137" s="1">
        <v>58.66772428448381</v>
      </c>
      <c r="D137" s="1">
        <v>-7.3354485689676272</v>
      </c>
      <c r="E137" s="6">
        <v>1</v>
      </c>
    </row>
    <row r="138" spans="1:5" x14ac:dyDescent="0.3">
      <c r="A138" s="1">
        <v>-0.35617313849533339</v>
      </c>
      <c r="B138" s="1">
        <v>0.28080370221109402</v>
      </c>
      <c r="C138" s="1">
        <v>43.425970774300005</v>
      </c>
      <c r="D138" s="1">
        <v>15.47835768808333</v>
      </c>
      <c r="E138" s="6">
        <v>2</v>
      </c>
    </row>
    <row r="139" spans="1:5" x14ac:dyDescent="0.3">
      <c r="A139" s="1">
        <v>-4.2176722342114843E-2</v>
      </c>
      <c r="B139" s="1">
        <v>0.85116586417282536</v>
      </c>
      <c r="C139" s="1">
        <v>-3.6734916486827736</v>
      </c>
      <c r="D139" s="1">
        <v>54.727909707235646</v>
      </c>
      <c r="E139" s="6">
        <v>3</v>
      </c>
    </row>
    <row r="140" spans="1:5" x14ac:dyDescent="0.3">
      <c r="A140" s="1">
        <v>0.39355866274784468</v>
      </c>
      <c r="B140" s="1">
        <v>0.8993701793976786</v>
      </c>
      <c r="C140" s="1">
        <v>-88.711732549568936</v>
      </c>
      <c r="D140" s="1">
        <v>89.516899706088353</v>
      </c>
      <c r="E140" s="6">
        <v>4</v>
      </c>
    </row>
    <row r="141" spans="1:5" x14ac:dyDescent="0.3">
      <c r="A141" s="1">
        <v>0.99824691403313159</v>
      </c>
      <c r="B141" s="1">
        <v>0.7550363292283091</v>
      </c>
      <c r="C141" s="1">
        <v>-30.17530859668684</v>
      </c>
      <c r="D141" s="1">
        <v>-29.649382806626321</v>
      </c>
      <c r="E141" s="6">
        <v>5</v>
      </c>
    </row>
    <row r="142" spans="1:5" x14ac:dyDescent="0.3">
      <c r="A142" s="1">
        <v>-0.90025151196601372</v>
      </c>
      <c r="B142" s="1">
        <v>-2.4528559623537144E-3</v>
      </c>
      <c r="C142" s="1">
        <v>76.874360628666267</v>
      </c>
      <c r="D142" s="1">
        <v>-26.874360628666253</v>
      </c>
      <c r="E142" s="6">
        <v>6</v>
      </c>
    </row>
    <row r="143" spans="1:5" x14ac:dyDescent="0.3">
      <c r="A143" s="1">
        <v>-0.35738036156115183</v>
      </c>
      <c r="B143" s="1">
        <v>-1.1689819659548083E-2</v>
      </c>
      <c r="C143" s="1">
        <v>58.184712874334487</v>
      </c>
      <c r="D143" s="1">
        <v>-7.2307396615394222</v>
      </c>
      <c r="E143" s="6">
        <v>7</v>
      </c>
    </row>
    <row r="144" spans="1:5" x14ac:dyDescent="0.3">
      <c r="A144" s="1">
        <v>1.5475709436474375E-2</v>
      </c>
      <c r="B144" s="1">
        <v>-1.8540834882761825E-2</v>
      </c>
      <c r="C144" s="1">
        <v>27.913008069150568</v>
      </c>
      <c r="D144" s="1">
        <v>29.071897405248702</v>
      </c>
      <c r="E144" s="6">
        <v>8</v>
      </c>
    </row>
    <row r="145" spans="1:5" x14ac:dyDescent="0.3">
      <c r="A145" s="1">
        <v>0.5034711105724301</v>
      </c>
      <c r="B145" s="1">
        <v>3.2391405340564484E-2</v>
      </c>
      <c r="C145" s="1">
        <v>-68.593765904236903</v>
      </c>
      <c r="D145" s="1">
        <v>53.438301236573444</v>
      </c>
      <c r="E145" s="6">
        <v>9</v>
      </c>
    </row>
    <row r="146" spans="1:5" x14ac:dyDescent="0.3">
      <c r="A146" s="1">
        <v>0.9142633737131558</v>
      </c>
      <c r="B146" s="1">
        <v>1.0051693808293016E-2</v>
      </c>
      <c r="C146" s="1">
        <v>-39.232231370671819</v>
      </c>
      <c r="D146" s="1">
        <v>-10.237107655258725</v>
      </c>
      <c r="E146" s="6">
        <v>10</v>
      </c>
    </row>
    <row r="147" spans="1:5" x14ac:dyDescent="0.3">
      <c r="A147" s="1">
        <v>-0.94451821244392742</v>
      </c>
      <c r="B147" s="1">
        <v>-0.8953138465814291</v>
      </c>
      <c r="C147" s="1">
        <v>89.075303540732122</v>
      </c>
      <c r="D147" s="1">
        <v>-39.075303540732122</v>
      </c>
      <c r="E147" s="6">
        <v>11</v>
      </c>
    </row>
    <row r="148" spans="1:5" x14ac:dyDescent="0.3">
      <c r="A148" s="1">
        <v>-0.50409789142838524</v>
      </c>
      <c r="B148" s="1">
        <v>-0.19037484569989371</v>
      </c>
      <c r="C148" s="1">
        <v>80.704627904116322</v>
      </c>
      <c r="D148" s="1">
        <v>-30.704627904116322</v>
      </c>
      <c r="E148" s="6">
        <v>12</v>
      </c>
    </row>
    <row r="149" spans="1:5" x14ac:dyDescent="0.3">
      <c r="A149" s="1">
        <v>-4.4031245477277652E-2</v>
      </c>
      <c r="B149" s="1">
        <v>-0.62861303748436892</v>
      </c>
      <c r="C149" s="1">
        <v>62.201562273863885</v>
      </c>
      <c r="D149" s="1">
        <v>-12.201562273863882</v>
      </c>
      <c r="E149" s="6">
        <v>13</v>
      </c>
    </row>
    <row r="150" spans="1:5" x14ac:dyDescent="0.3">
      <c r="A150" s="1">
        <v>0.392569470483074</v>
      </c>
      <c r="B150" s="1">
        <v>-0.51841374082172087</v>
      </c>
      <c r="C150" s="1">
        <v>10.928816189615754</v>
      </c>
      <c r="D150" s="1">
        <v>48.885420572461101</v>
      </c>
      <c r="E150" s="6">
        <v>14</v>
      </c>
    </row>
    <row r="151" spans="1:5" x14ac:dyDescent="0.3">
      <c r="A151" s="1">
        <v>0.95208978358966345</v>
      </c>
      <c r="B151" s="1">
        <v>-0.4779231149249441</v>
      </c>
      <c r="C151" s="1">
        <v>-26.805985572644229</v>
      </c>
      <c r="D151" s="1">
        <v>-23.611971145288457</v>
      </c>
      <c r="E151" s="6">
        <v>15</v>
      </c>
    </row>
    <row r="152" spans="1:5" x14ac:dyDescent="0.3">
      <c r="A152" s="1">
        <v>-0.9698089762739478</v>
      </c>
      <c r="B152" s="1">
        <v>0.70616270250590429</v>
      </c>
      <c r="C152" s="1">
        <v>59.496816271232468</v>
      </c>
      <c r="D152" s="1">
        <v>-8.9936325424649262</v>
      </c>
      <c r="E152" s="6">
        <v>1</v>
      </c>
    </row>
    <row r="153" spans="1:5" x14ac:dyDescent="0.3">
      <c r="A153" s="1">
        <v>-0.42786320711843251</v>
      </c>
      <c r="B153" s="1">
        <v>0.24473983050250453</v>
      </c>
      <c r="C153" s="1">
        <v>50.464386785307205</v>
      </c>
      <c r="D153" s="1">
        <v>9.0712264293855824</v>
      </c>
      <c r="E153" s="6">
        <v>2</v>
      </c>
    </row>
    <row r="154" spans="1:5" x14ac:dyDescent="0.3">
      <c r="A154" s="1">
        <v>-7.9559227284473594E-2</v>
      </c>
      <c r="B154" s="1">
        <v>0.41018545902474535</v>
      </c>
      <c r="C154" s="1">
        <v>1.9338840926710399</v>
      </c>
      <c r="D154" s="1">
        <v>50.055096589440801</v>
      </c>
      <c r="E154" s="6">
        <v>3</v>
      </c>
    </row>
    <row r="155" spans="1:5" x14ac:dyDescent="0.3">
      <c r="A155" s="1">
        <v>0.45316640491240279</v>
      </c>
      <c r="B155" s="1">
        <v>0.98937498031384619</v>
      </c>
      <c r="C155" s="1">
        <v>-84.683359508759708</v>
      </c>
      <c r="D155" s="1">
        <v>79.366719017519443</v>
      </c>
      <c r="E155" s="6">
        <v>4</v>
      </c>
    </row>
    <row r="156" spans="1:5" x14ac:dyDescent="0.3">
      <c r="A156" s="1">
        <v>0.97863447770522749</v>
      </c>
      <c r="B156" s="1">
        <v>0.28480605441098028</v>
      </c>
      <c r="C156" s="1">
        <v>-32.136552229477246</v>
      </c>
      <c r="D156" s="1">
        <v>-25.726895541045497</v>
      </c>
      <c r="E156" s="6">
        <v>5</v>
      </c>
    </row>
    <row r="157" spans="1:5" x14ac:dyDescent="0.3">
      <c r="A157" s="1">
        <v>-0.99266164385780264</v>
      </c>
      <c r="B157" s="1">
        <v>-1.0238950340705245E-2</v>
      </c>
      <c r="C157" s="1">
        <v>80.260952439179107</v>
      </c>
      <c r="D157" s="1">
        <v>-30.260952439179114</v>
      </c>
      <c r="E157" s="6">
        <v>6</v>
      </c>
    </row>
    <row r="158" spans="1:5" x14ac:dyDescent="0.3">
      <c r="A158" s="1">
        <v>-0.43957918279958219</v>
      </c>
      <c r="B158" s="1">
        <v>3.466947672775262E-2</v>
      </c>
      <c r="C158" s="1">
        <v>59.634105006390222</v>
      </c>
      <c r="D158" s="1">
        <v>-8.1026738196227583</v>
      </c>
      <c r="E158" s="6">
        <v>7</v>
      </c>
    </row>
    <row r="159" spans="1:5" x14ac:dyDescent="0.3">
      <c r="A159" s="1">
        <v>-1.9752784642506536E-2</v>
      </c>
      <c r="B159" s="1">
        <v>1.2118387155376401E-2</v>
      </c>
      <c r="C159" s="1">
        <v>30.041337951017937</v>
      </c>
      <c r="D159" s="1">
        <v>28.957774642143931</v>
      </c>
      <c r="E159" s="6">
        <v>8</v>
      </c>
    </row>
    <row r="160" spans="1:5" x14ac:dyDescent="0.3">
      <c r="A160" s="1">
        <v>0.47420067566425039</v>
      </c>
      <c r="B160" s="1">
        <v>3.8604132626023573E-2</v>
      </c>
      <c r="C160" s="1">
        <v>-71.632907160671692</v>
      </c>
      <c r="D160" s="1">
        <v>59.735439225980969</v>
      </c>
      <c r="E160" s="6">
        <v>9</v>
      </c>
    </row>
    <row r="161" spans="1:5" x14ac:dyDescent="0.3">
      <c r="A161" s="1">
        <v>0.92373109894054051</v>
      </c>
      <c r="B161" s="1">
        <v>3.7515038925934815E-3</v>
      </c>
      <c r="C161" s="1">
        <v>-37.210683837872601</v>
      </c>
      <c r="D161" s="1">
        <v>-14.353446853876534</v>
      </c>
      <c r="E161" s="6">
        <v>10</v>
      </c>
    </row>
    <row r="162" spans="1:5" x14ac:dyDescent="0.3">
      <c r="A162" s="1">
        <v>-0.94148836488225651</v>
      </c>
      <c r="B162" s="1">
        <v>-0.79222751275083914</v>
      </c>
      <c r="C162" s="1">
        <v>89.02480608137094</v>
      </c>
      <c r="D162" s="1">
        <v>-39.02480608137094</v>
      </c>
      <c r="E162" s="6">
        <v>11</v>
      </c>
    </row>
    <row r="163" spans="1:5" x14ac:dyDescent="0.3">
      <c r="A163" s="1">
        <v>-0.41302703845300193</v>
      </c>
      <c r="B163" s="1">
        <v>-0.90434352447254995</v>
      </c>
      <c r="C163" s="1">
        <v>80.217117307550026</v>
      </c>
      <c r="D163" s="1">
        <v>-30.21711730755003</v>
      </c>
      <c r="E163" s="6">
        <v>12</v>
      </c>
    </row>
    <row r="164" spans="1:5" x14ac:dyDescent="0.3">
      <c r="A164" s="1">
        <v>6.5045975486839033E-2</v>
      </c>
      <c r="B164" s="1">
        <v>-0.85188286357222653</v>
      </c>
      <c r="C164" s="1">
        <v>51.869253064145127</v>
      </c>
      <c r="D164" s="1">
        <v>-0.24310367697414573</v>
      </c>
      <c r="E164" s="6">
        <v>13</v>
      </c>
    </row>
    <row r="165" spans="1:5" x14ac:dyDescent="0.3">
      <c r="A165" s="1">
        <v>0.34870630426682697</v>
      </c>
      <c r="B165" s="1">
        <v>-0.89013567957417594</v>
      </c>
      <c r="C165" s="1">
        <v>16.411711966646632</v>
      </c>
      <c r="D165" s="1">
        <v>42.305945640024035</v>
      </c>
      <c r="E165" s="6">
        <v>14</v>
      </c>
    </row>
    <row r="166" spans="1:5" x14ac:dyDescent="0.3">
      <c r="A166" s="1">
        <v>0.93525980458098046</v>
      </c>
      <c r="B166" s="1">
        <v>-0.41791525267264984</v>
      </c>
      <c r="C166" s="1">
        <v>-25.683986972065366</v>
      </c>
      <c r="D166" s="1">
        <v>-21.367973944130728</v>
      </c>
      <c r="E166" s="6">
        <v>15</v>
      </c>
    </row>
    <row r="167" spans="1:5" x14ac:dyDescent="0.3">
      <c r="A167" s="1">
        <v>-0.94500520570203694</v>
      </c>
      <c r="B167" s="1">
        <v>0.98297194235145235</v>
      </c>
      <c r="C167" s="1">
        <v>59.083420095033951</v>
      </c>
      <c r="D167" s="1">
        <v>-8.166840190067898</v>
      </c>
      <c r="E167" s="6">
        <v>1</v>
      </c>
    </row>
    <row r="168" spans="1:5" x14ac:dyDescent="0.3">
      <c r="A168" s="1">
        <v>-0.47878891147703107</v>
      </c>
      <c r="B168" s="1">
        <v>0.79073394966317634</v>
      </c>
      <c r="C168" s="1">
        <v>51.313148524617191</v>
      </c>
      <c r="D168" s="1">
        <v>7.3737029507656322</v>
      </c>
      <c r="E168" s="6">
        <v>2</v>
      </c>
    </row>
    <row r="169" spans="1:5" x14ac:dyDescent="0.3">
      <c r="A169" s="1">
        <v>-6.4434586589478135E-2</v>
      </c>
      <c r="B169" s="1">
        <v>0.70049472982811334</v>
      </c>
      <c r="C169" s="1">
        <v>-0.33481201157827917</v>
      </c>
      <c r="D169" s="1">
        <v>51.945676676315237</v>
      </c>
      <c r="E169" s="6">
        <v>3</v>
      </c>
    </row>
    <row r="170" spans="1:5" x14ac:dyDescent="0.3">
      <c r="A170" s="1">
        <v>0.33402420228812724</v>
      </c>
      <c r="B170" s="1">
        <v>0.91661387220368207</v>
      </c>
      <c r="C170" s="1">
        <v>-76.804840457625446</v>
      </c>
      <c r="D170" s="1">
        <v>85.051815171609547</v>
      </c>
      <c r="E170" s="6">
        <v>4</v>
      </c>
    </row>
    <row r="171" spans="1:5" x14ac:dyDescent="0.3">
      <c r="A171" s="1">
        <v>0.90418868408598019</v>
      </c>
      <c r="B171" s="1">
        <v>0.73352536766865606</v>
      </c>
      <c r="C171" s="1">
        <v>-39.581131591401984</v>
      </c>
      <c r="D171" s="1">
        <v>-10.837736817196038</v>
      </c>
      <c r="E171" s="6">
        <v>5</v>
      </c>
    </row>
    <row r="172" spans="1:5" x14ac:dyDescent="0.3">
      <c r="A172" s="1">
        <v>-0.98232537166983713</v>
      </c>
      <c r="B172" s="1">
        <v>3.8396292649020621E-2</v>
      </c>
      <c r="C172" s="1">
        <v>74.983060195577565</v>
      </c>
      <c r="D172" s="1">
        <v>-24.704872598049437</v>
      </c>
      <c r="E172" s="6">
        <v>6</v>
      </c>
    </row>
    <row r="173" spans="1:5" x14ac:dyDescent="0.3">
      <c r="A173" s="1">
        <v>-0.4121332779630581</v>
      </c>
      <c r="B173" s="1">
        <v>-1.0200801224119021E-2</v>
      </c>
      <c r="C173" s="1">
        <v>61.952230117136509</v>
      </c>
      <c r="D173" s="1">
        <v>-11.952230117136507</v>
      </c>
      <c r="E173" s="6">
        <v>7</v>
      </c>
    </row>
    <row r="174" spans="1:5" x14ac:dyDescent="0.3">
      <c r="A174" s="1">
        <v>3.4367027919571247E-2</v>
      </c>
      <c r="B174" s="1">
        <v>1.5750013223800069E-2</v>
      </c>
      <c r="C174" s="1">
        <v>10.949511241707473</v>
      </c>
      <c r="D174" s="1">
        <v>39.834456276602673</v>
      </c>
      <c r="E174" s="6">
        <v>8</v>
      </c>
    </row>
    <row r="175" spans="1:5" x14ac:dyDescent="0.3">
      <c r="A175" s="1">
        <v>0.38617713125296793</v>
      </c>
      <c r="B175" s="1">
        <v>-1.4836518469389059E-2</v>
      </c>
      <c r="C175" s="1">
        <v>-65.674379576078238</v>
      </c>
      <c r="D175" s="1">
        <v>73.393146511165568</v>
      </c>
      <c r="E175" s="6">
        <v>9</v>
      </c>
    </row>
    <row r="176" spans="1:5" x14ac:dyDescent="0.3">
      <c r="A176" s="1">
        <v>0.97292734417446147</v>
      </c>
      <c r="B176" s="1">
        <v>1.5086365153246933E-2</v>
      </c>
      <c r="C176" s="1">
        <v>-34.552493288215608</v>
      </c>
      <c r="D176" s="1">
        <v>-20.481150397367355</v>
      </c>
      <c r="E176" s="6">
        <v>10</v>
      </c>
    </row>
    <row r="177" spans="1:5" x14ac:dyDescent="0.3">
      <c r="A177" s="1">
        <v>-0.91113592918836606</v>
      </c>
      <c r="B177" s="1">
        <v>-0.1720635146669337</v>
      </c>
      <c r="C177" s="1">
        <v>84.475098409126815</v>
      </c>
      <c r="D177" s="1">
        <v>-34.475098409126808</v>
      </c>
      <c r="E177" s="6">
        <v>11</v>
      </c>
    </row>
    <row r="178" spans="1:5" x14ac:dyDescent="0.3">
      <c r="A178" s="1">
        <v>-0.50758981575276529</v>
      </c>
      <c r="B178" s="1">
        <v>-0.67752986074231702</v>
      </c>
      <c r="C178" s="1">
        <v>81.793163595879435</v>
      </c>
      <c r="D178" s="1">
        <v>-31.79316359587942</v>
      </c>
      <c r="E178" s="6">
        <v>12</v>
      </c>
    </row>
    <row r="179" spans="1:5" x14ac:dyDescent="0.3">
      <c r="A179" s="1">
        <v>-6.6622393443145494E-2</v>
      </c>
      <c r="B179" s="1">
        <v>-0.28512852923254661</v>
      </c>
      <c r="C179" s="1">
        <v>63.331119672157286</v>
      </c>
      <c r="D179" s="1">
        <v>-13.331119672157275</v>
      </c>
      <c r="E179" s="6">
        <v>13</v>
      </c>
    </row>
    <row r="180" spans="1:5" x14ac:dyDescent="0.3">
      <c r="A180" s="1">
        <v>0.44578423541221734</v>
      </c>
      <c r="B180" s="1">
        <v>-0.79716654224451178</v>
      </c>
      <c r="C180" s="1">
        <v>6.9477176391855124</v>
      </c>
      <c r="D180" s="1">
        <v>43.895435278371025</v>
      </c>
      <c r="E180" s="6">
        <v>14</v>
      </c>
    </row>
    <row r="181" spans="1:5" x14ac:dyDescent="0.3">
      <c r="A181" s="1">
        <v>0.91865100311152659</v>
      </c>
      <c r="B181" s="1">
        <v>-0.44427486392924365</v>
      </c>
      <c r="C181" s="1">
        <v>-24.576733540768441</v>
      </c>
      <c r="D181" s="1">
        <v>-19.153467081536878</v>
      </c>
      <c r="E181" s="6">
        <v>15</v>
      </c>
    </row>
    <row r="182" spans="1:5" x14ac:dyDescent="0.3">
      <c r="A182" s="1">
        <v>-0.9145515636121645</v>
      </c>
      <c r="B182" s="1">
        <v>0.33258872414443191</v>
      </c>
      <c r="C182" s="1">
        <v>58.575859393536078</v>
      </c>
      <c r="D182" s="1">
        <v>-7.1517187870721495</v>
      </c>
      <c r="E182" s="6">
        <v>1</v>
      </c>
    </row>
    <row r="183" spans="1:5" x14ac:dyDescent="0.3">
      <c r="A183" s="1">
        <v>-0.47961183629950299</v>
      </c>
      <c r="B183" s="1">
        <v>0.76645720280521357</v>
      </c>
      <c r="C183" s="1">
        <v>51.326863938325054</v>
      </c>
      <c r="D183" s="1">
        <v>7.3462721233499018</v>
      </c>
      <c r="E183" s="6">
        <v>2</v>
      </c>
    </row>
    <row r="184" spans="1:5" x14ac:dyDescent="0.3">
      <c r="A184" s="1">
        <v>-7.7555172422611895E-2</v>
      </c>
      <c r="B184" s="1">
        <v>0.95471191667175748</v>
      </c>
      <c r="C184" s="1">
        <v>1.6332758633917823</v>
      </c>
      <c r="D184" s="1">
        <v>50.305603447173517</v>
      </c>
      <c r="E184" s="6">
        <v>3</v>
      </c>
    </row>
    <row r="185" spans="1:5" x14ac:dyDescent="0.3">
      <c r="A185" s="1">
        <v>0.39479628394362076</v>
      </c>
      <c r="B185" s="1">
        <v>0.4134855263608963</v>
      </c>
      <c r="C185" s="1">
        <v>-88.959256788724161</v>
      </c>
      <c r="D185" s="1">
        <v>89.609721295771564</v>
      </c>
      <c r="E185" s="6">
        <v>4</v>
      </c>
    </row>
    <row r="186" spans="1:5" x14ac:dyDescent="0.3">
      <c r="A186" s="1">
        <v>0.96178650657118514</v>
      </c>
      <c r="B186" s="1">
        <v>0.25204120129367202</v>
      </c>
      <c r="C186" s="1">
        <v>-33.821349342881483</v>
      </c>
      <c r="D186" s="1">
        <v>-22.357301314237027</v>
      </c>
      <c r="E186" s="6">
        <v>5</v>
      </c>
    </row>
    <row r="187" spans="1:5" x14ac:dyDescent="0.3">
      <c r="A187" s="1">
        <v>-0.97157565643794719</v>
      </c>
      <c r="B187" s="1">
        <v>2.7335736174370719E-2</v>
      </c>
      <c r="C187" s="1">
        <v>75.33932029008308</v>
      </c>
      <c r="D187" s="1">
        <v>-24.906582216319034</v>
      </c>
      <c r="E187" s="6">
        <v>6</v>
      </c>
    </row>
    <row r="188" spans="1:5" x14ac:dyDescent="0.3">
      <c r="A188" s="1">
        <v>-0.34660463937451758</v>
      </c>
      <c r="B188" s="1">
        <v>1.8662044823134424E-2</v>
      </c>
      <c r="C188" s="1">
        <v>50.334339852932601</v>
      </c>
      <c r="D188" s="1">
        <v>1.5769589622649702</v>
      </c>
      <c r="E188" s="6">
        <v>7</v>
      </c>
    </row>
    <row r="189" spans="1:5" x14ac:dyDescent="0.3">
      <c r="A189" s="1">
        <v>-5.8006813012271133E-2</v>
      </c>
      <c r="B189" s="1">
        <v>1.5973354449574748E-2</v>
      </c>
      <c r="C189" s="1">
        <v>32.373972490517161</v>
      </c>
      <c r="D189" s="1">
        <v>25.686928603135947</v>
      </c>
      <c r="E189" s="6">
        <v>8</v>
      </c>
    </row>
    <row r="190" spans="1:5" x14ac:dyDescent="0.3">
      <c r="A190" s="1">
        <v>0.44026074833002282</v>
      </c>
      <c r="B190" s="1">
        <v>-4.2898777904576066E-3</v>
      </c>
      <c r="C190" s="1">
        <v>-73.903553298882755</v>
      </c>
      <c r="D190" s="1">
        <v>70.043087721301404</v>
      </c>
      <c r="E190" s="6">
        <v>9</v>
      </c>
    </row>
    <row r="191" spans="1:5" x14ac:dyDescent="0.3">
      <c r="A191" s="1">
        <v>0.95605338888086155</v>
      </c>
      <c r="B191" s="1">
        <v>1.1432534549659874E-2</v>
      </c>
      <c r="C191" s="1">
        <v>-36.364369245320319</v>
      </c>
      <c r="D191" s="1">
        <v>-16.613963780637313</v>
      </c>
      <c r="E191" s="6">
        <v>10</v>
      </c>
    </row>
    <row r="192" spans="1:5" x14ac:dyDescent="0.3">
      <c r="A192" s="1">
        <v>-0.92713180262469508</v>
      </c>
      <c r="B192" s="1">
        <v>-0.81720614722236029</v>
      </c>
      <c r="C192" s="1">
        <v>88.785530043744913</v>
      </c>
      <c r="D192" s="1">
        <v>-38.78553004374492</v>
      </c>
      <c r="E192" s="6">
        <v>11</v>
      </c>
    </row>
    <row r="193" spans="1:5" x14ac:dyDescent="0.3">
      <c r="A193" s="1">
        <v>-0.51919590432793927</v>
      </c>
      <c r="B193" s="1">
        <v>-0.54296670640587674</v>
      </c>
      <c r="C193" s="1">
        <v>81.986598405465671</v>
      </c>
      <c r="D193" s="1">
        <v>-31.986598405465656</v>
      </c>
      <c r="E193" s="6">
        <v>12</v>
      </c>
    </row>
    <row r="194" spans="1:5" x14ac:dyDescent="0.3">
      <c r="A194" s="1">
        <v>3.0179781893783536E-2</v>
      </c>
      <c r="B194" s="1">
        <v>-0.36868186063177932</v>
      </c>
      <c r="C194" s="1">
        <v>56.227527263277054</v>
      </c>
      <c r="D194" s="1">
        <v>-5.4730327159324696</v>
      </c>
      <c r="E194" s="6">
        <v>13</v>
      </c>
    </row>
    <row r="195" spans="1:5" x14ac:dyDescent="0.3">
      <c r="A195" s="1">
        <v>0.49797325180544405</v>
      </c>
      <c r="B195" s="1">
        <v>-0.70264005296869025</v>
      </c>
      <c r="C195" s="1">
        <v>3.4684498796370642</v>
      </c>
      <c r="D195" s="1">
        <v>36.936899759274127</v>
      </c>
      <c r="E195" s="6">
        <v>14</v>
      </c>
    </row>
    <row r="196" spans="1:5" x14ac:dyDescent="0.3">
      <c r="A196" s="1">
        <v>0.9567266382776608</v>
      </c>
      <c r="B196" s="1">
        <v>-0.5207226132511078</v>
      </c>
      <c r="C196" s="1">
        <v>-27.115109218510721</v>
      </c>
      <c r="D196" s="1">
        <v>-24.230218437021442</v>
      </c>
      <c r="E196" s="6">
        <v>15</v>
      </c>
    </row>
    <row r="197" spans="1:5" x14ac:dyDescent="0.3">
      <c r="A197" s="1">
        <v>-0.90072165068070476</v>
      </c>
      <c r="B197" s="1">
        <v>0.59671794813258938</v>
      </c>
      <c r="C197" s="1">
        <v>58.34536084467841</v>
      </c>
      <c r="D197" s="1">
        <v>-6.690721689356824</v>
      </c>
      <c r="E197" s="6">
        <v>1</v>
      </c>
    </row>
    <row r="198" spans="1:5" x14ac:dyDescent="0.3">
      <c r="A198" s="1">
        <v>-0.43940196853946145</v>
      </c>
      <c r="B198" s="1">
        <v>0.43215600891372108</v>
      </c>
      <c r="C198" s="1">
        <v>50.656699475657689</v>
      </c>
      <c r="D198" s="1">
        <v>8.6866010486846186</v>
      </c>
      <c r="E198" s="6">
        <v>2</v>
      </c>
    </row>
    <row r="199" spans="1:5" x14ac:dyDescent="0.3">
      <c r="A199" s="1">
        <v>-1.7035676437943084E-2</v>
      </c>
      <c r="B199" s="1">
        <v>0.86738899988592266</v>
      </c>
      <c r="C199" s="1">
        <v>-7.4446485343085378</v>
      </c>
      <c r="D199" s="1">
        <v>57.87054044525712</v>
      </c>
      <c r="E199" s="6">
        <v>3</v>
      </c>
    </row>
    <row r="200" spans="1:5" x14ac:dyDescent="0.3">
      <c r="A200" s="1">
        <v>0.5180128796868001</v>
      </c>
      <c r="B200" s="1">
        <v>0.21393676417916746</v>
      </c>
      <c r="C200" s="1">
        <v>-78.198712031319999</v>
      </c>
      <c r="D200" s="1">
        <v>66.397424062639985</v>
      </c>
      <c r="E200" s="6">
        <v>4</v>
      </c>
    </row>
    <row r="201" spans="1:5" x14ac:dyDescent="0.3">
      <c r="A201" s="1">
        <v>0.95533420825308535</v>
      </c>
      <c r="B201" s="1">
        <v>0.44464751683784998</v>
      </c>
      <c r="C201" s="1">
        <v>-34.466579174691461</v>
      </c>
      <c r="D201" s="1">
        <v>-21.066841650617068</v>
      </c>
      <c r="E201" s="6">
        <v>5</v>
      </c>
    </row>
    <row r="202" spans="1:5" x14ac:dyDescent="0.3">
      <c r="A202" s="1">
        <v>-0.90815317704988063</v>
      </c>
      <c r="B202" s="1">
        <v>-1.3085578573127029E-2</v>
      </c>
      <c r="C202" s="1">
        <v>77.871274244937482</v>
      </c>
      <c r="D202" s="1">
        <v>-27.871274244937471</v>
      </c>
      <c r="E202" s="6">
        <v>6</v>
      </c>
    </row>
    <row r="203" spans="1:5" x14ac:dyDescent="0.3">
      <c r="A203" s="1">
        <v>-0.47101037194766482</v>
      </c>
      <c r="B203" s="1">
        <v>2.1903775878218207E-2</v>
      </c>
      <c r="C203" s="1">
        <v>61.043301239179939</v>
      </c>
      <c r="D203" s="1">
        <v>-10.144896914932422</v>
      </c>
      <c r="E203" s="6">
        <v>7</v>
      </c>
    </row>
    <row r="204" spans="1:5" x14ac:dyDescent="0.3">
      <c r="A204" s="1">
        <v>6.43828604616246E-2</v>
      </c>
      <c r="B204" s="1">
        <v>2.4523702843677241E-2</v>
      </c>
      <c r="C204" s="1">
        <v>2.6390117274195289E-2</v>
      </c>
      <c r="D204" s="1">
        <v>45.325213916353441</v>
      </c>
      <c r="E204" s="6">
        <v>8</v>
      </c>
    </row>
    <row r="205" spans="1:5" x14ac:dyDescent="0.3">
      <c r="A205" s="1">
        <v>0.44533854902593145</v>
      </c>
      <c r="B205" s="1">
        <v>-7.504003503804639E-3</v>
      </c>
      <c r="C205" s="1">
        <v>-71.599368788929567</v>
      </c>
      <c r="D205" s="1">
        <v>67.38198640797232</v>
      </c>
      <c r="E205" s="6">
        <v>9</v>
      </c>
    </row>
    <row r="206" spans="1:5" x14ac:dyDescent="0.3">
      <c r="A206" s="1">
        <v>0.91070027491267602</v>
      </c>
      <c r="B206" s="1">
        <v>3.2451423913850704E-2</v>
      </c>
      <c r="C206" s="1">
        <v>-42.616204336391768</v>
      </c>
      <c r="D206" s="1">
        <v>-3.6206636602717657</v>
      </c>
      <c r="E206" s="6">
        <v>10</v>
      </c>
    </row>
    <row r="207" spans="1:5" x14ac:dyDescent="0.3">
      <c r="A207" s="1">
        <v>-0.97427441347107535</v>
      </c>
      <c r="B207" s="1">
        <v>-0.32505974104103685</v>
      </c>
      <c r="C207" s="1">
        <v>89.571240224517936</v>
      </c>
      <c r="D207" s="1">
        <v>-39.571240224517922</v>
      </c>
      <c r="E207" s="6">
        <v>11</v>
      </c>
    </row>
    <row r="208" spans="1:5" x14ac:dyDescent="0.3">
      <c r="A208" s="1">
        <v>-0.51634666100466942</v>
      </c>
      <c r="B208" s="1">
        <v>-0.18348073015713795</v>
      </c>
      <c r="C208" s="1">
        <v>80.246469131539854</v>
      </c>
      <c r="D208" s="1">
        <v>-30.246469131539861</v>
      </c>
      <c r="E208" s="6">
        <v>12</v>
      </c>
    </row>
    <row r="209" spans="1:5" x14ac:dyDescent="0.3">
      <c r="A209" s="1">
        <v>-5.853918994250723E-3</v>
      </c>
      <c r="B209" s="1">
        <v>-0.71591276018536876</v>
      </c>
      <c r="C209" s="1">
        <v>60.292695949712531</v>
      </c>
      <c r="D209" s="1">
        <v>-10.292695949712535</v>
      </c>
      <c r="E209" s="6">
        <v>13</v>
      </c>
    </row>
    <row r="210" spans="1:5" x14ac:dyDescent="0.3">
      <c r="A210" s="1">
        <v>0.51033046361575107</v>
      </c>
      <c r="B210" s="1">
        <v>-0.25555510444258589</v>
      </c>
      <c r="C210" s="1">
        <v>2.6446357589499296</v>
      </c>
      <c r="D210" s="1">
        <v>35.289271517899863</v>
      </c>
      <c r="E210" s="6">
        <v>14</v>
      </c>
    </row>
    <row r="211" spans="1:5" x14ac:dyDescent="0.3">
      <c r="A211" s="1">
        <v>0.93771729303445162</v>
      </c>
      <c r="B211" s="1">
        <v>-0.58214546928528366</v>
      </c>
      <c r="C211" s="1">
        <v>-25.847819535630109</v>
      </c>
      <c r="D211" s="1">
        <v>-21.695639071260217</v>
      </c>
      <c r="E211" s="6">
        <v>15</v>
      </c>
    </row>
    <row r="212" spans="1:5" x14ac:dyDescent="0.3">
      <c r="A212" s="1">
        <v>-0.99278571400566007</v>
      </c>
      <c r="B212" s="1">
        <v>0.31231292104455127</v>
      </c>
      <c r="C212" s="1">
        <v>59.879761900094337</v>
      </c>
      <c r="D212" s="1">
        <v>-9.7595238001886706</v>
      </c>
      <c r="E212" s="6">
        <v>1</v>
      </c>
    </row>
    <row r="213" spans="1:5" x14ac:dyDescent="0.3">
      <c r="A213" s="1">
        <v>-0.45175544394990808</v>
      </c>
      <c r="B213" s="1">
        <v>0.43165031535906795</v>
      </c>
      <c r="C213" s="1">
        <v>50.862590732498475</v>
      </c>
      <c r="D213" s="1">
        <v>8.2748185350030639</v>
      </c>
      <c r="E213" s="6">
        <v>2</v>
      </c>
    </row>
    <row r="214" spans="1:5" x14ac:dyDescent="0.3">
      <c r="A214" s="1">
        <v>-3.102259781508266E-2</v>
      </c>
      <c r="B214" s="1">
        <v>0.59486902834495747</v>
      </c>
      <c r="C214" s="1">
        <v>-5.3466103277376007</v>
      </c>
      <c r="D214" s="1">
        <v>56.122175273114664</v>
      </c>
      <c r="E214" s="6">
        <v>3</v>
      </c>
    </row>
    <row r="215" spans="1:5" x14ac:dyDescent="0.3">
      <c r="A215" s="1">
        <v>0.43077645384816515</v>
      </c>
      <c r="B215" s="1">
        <v>0.27358004676299841</v>
      </c>
      <c r="C215" s="1">
        <v>-86.922354615183494</v>
      </c>
      <c r="D215" s="1">
        <v>83.844709230366973</v>
      </c>
      <c r="E215" s="6">
        <v>4</v>
      </c>
    </row>
    <row r="216" spans="1:5" x14ac:dyDescent="0.3">
      <c r="A216" s="1">
        <v>0.9867318330724979</v>
      </c>
      <c r="B216" s="1">
        <v>0.90178083034386425</v>
      </c>
      <c r="C216" s="1">
        <v>-31.326816692750214</v>
      </c>
      <c r="D216" s="1">
        <v>-27.34636661449958</v>
      </c>
      <c r="E216" s="6">
        <v>5</v>
      </c>
    </row>
    <row r="217" spans="1:5" x14ac:dyDescent="0.3">
      <c r="A217" s="1">
        <v>-0.97060811353028442</v>
      </c>
      <c r="B217" s="1">
        <v>-1.0482326344264204E-2</v>
      </c>
      <c r="C217" s="1">
        <v>79.58504148053521</v>
      </c>
      <c r="D217" s="1">
        <v>-29.5850414805352</v>
      </c>
      <c r="E217" s="6">
        <v>6</v>
      </c>
    </row>
    <row r="218" spans="1:5" x14ac:dyDescent="0.3">
      <c r="A218" s="1">
        <v>-0.42407897852406601</v>
      </c>
      <c r="B218" s="1">
        <v>-1.7758650545396434E-2</v>
      </c>
      <c r="C218" s="1">
        <v>63.50141186148943</v>
      </c>
      <c r="D218" s="1">
        <v>-13.50141186148943</v>
      </c>
      <c r="E218" s="6">
        <v>7</v>
      </c>
    </row>
    <row r="219" spans="1:5" x14ac:dyDescent="0.3">
      <c r="A219" s="1">
        <v>-7.7490402726974814E-2</v>
      </c>
      <c r="B219" s="1">
        <v>2.2551600743790361E-2</v>
      </c>
      <c r="C219" s="1">
        <v>32.902140901104708</v>
      </c>
      <c r="D219" s="1">
        <v>24.597002246138786</v>
      </c>
      <c r="E219" s="6">
        <v>8</v>
      </c>
    </row>
    <row r="220" spans="1:5" x14ac:dyDescent="0.3">
      <c r="A220" s="1">
        <v>0.41919414166092378</v>
      </c>
      <c r="B220" s="1">
        <v>-3.2107766043776728E-2</v>
      </c>
      <c r="C220" s="1">
        <v>-63.413682120206083</v>
      </c>
      <c r="D220" s="1">
        <v>68.858802244405595</v>
      </c>
      <c r="E220" s="6">
        <v>9</v>
      </c>
    </row>
    <row r="221" spans="1:5" x14ac:dyDescent="0.3">
      <c r="A221" s="1">
        <v>0.90372162974475512</v>
      </c>
      <c r="B221" s="1">
        <v>-3.0383595732151741E-3</v>
      </c>
      <c r="C221" s="1">
        <v>-37.196859147741165</v>
      </c>
      <c r="D221" s="1">
        <v>-11.68994687587662</v>
      </c>
      <c r="E221" s="6">
        <v>10</v>
      </c>
    </row>
    <row r="222" spans="1:5" x14ac:dyDescent="0.3">
      <c r="A222" s="1">
        <v>-0.93257289926858267</v>
      </c>
      <c r="B222" s="1">
        <v>-0.71000523911466873</v>
      </c>
      <c r="C222" s="1">
        <v>88.876214987809718</v>
      </c>
      <c r="D222" s="1">
        <v>-38.876214987809711</v>
      </c>
      <c r="E222" s="6">
        <v>11</v>
      </c>
    </row>
    <row r="223" spans="1:5" x14ac:dyDescent="0.3">
      <c r="A223" s="1">
        <v>-0.34181842844850663</v>
      </c>
      <c r="B223" s="1">
        <v>-0.57961138005185808</v>
      </c>
      <c r="C223" s="1">
        <v>77.090921422425339</v>
      </c>
      <c r="D223" s="1">
        <v>-27.090921422425332</v>
      </c>
      <c r="E223" s="6">
        <v>12</v>
      </c>
    </row>
    <row r="224" spans="1:5" x14ac:dyDescent="0.3">
      <c r="A224" s="1">
        <v>3.1889619154288909E-2</v>
      </c>
      <c r="B224" s="1">
        <v>-0.5452200984675396</v>
      </c>
      <c r="C224" s="1">
        <v>56.01379760571389</v>
      </c>
      <c r="D224" s="1">
        <v>-5.2165571268566637</v>
      </c>
      <c r="E224" s="6">
        <v>13</v>
      </c>
    </row>
    <row r="225" spans="1:5" x14ac:dyDescent="0.3">
      <c r="A225" s="1">
        <v>0.49369667615455137</v>
      </c>
      <c r="B225" s="1">
        <v>-0.8599143940030145</v>
      </c>
      <c r="C225" s="1">
        <v>3.7535549230299097</v>
      </c>
      <c r="D225" s="1">
        <v>37.507109846059819</v>
      </c>
      <c r="E225" s="6">
        <v>14</v>
      </c>
    </row>
    <row r="226" spans="1:5" x14ac:dyDescent="0.3">
      <c r="A226" s="1">
        <v>0.93884808369034023</v>
      </c>
      <c r="B226" s="1">
        <v>-0.90749773622199148</v>
      </c>
      <c r="C226" s="1">
        <v>-25.923205579356015</v>
      </c>
      <c r="D226" s="1">
        <v>-21.84641115871203</v>
      </c>
      <c r="E226" s="6">
        <v>15</v>
      </c>
    </row>
    <row r="227" spans="1:5" x14ac:dyDescent="0.3">
      <c r="A227" s="1">
        <v>-0.98176794379661625</v>
      </c>
      <c r="B227" s="1">
        <v>0.91924118979492664</v>
      </c>
      <c r="C227" s="1">
        <v>59.696132396610267</v>
      </c>
      <c r="D227" s="1">
        <v>-9.3922647932205408</v>
      </c>
      <c r="E227" s="6">
        <v>1</v>
      </c>
    </row>
    <row r="228" spans="1:5" x14ac:dyDescent="0.3">
      <c r="A228" s="1">
        <v>-0.37536066785308747</v>
      </c>
      <c r="B228" s="1">
        <v>0.63812616246997633</v>
      </c>
      <c r="C228" s="1">
        <v>46.304100177963122</v>
      </c>
      <c r="D228" s="1">
        <v>13.079916518364069</v>
      </c>
      <c r="E228" s="6">
        <v>2</v>
      </c>
    </row>
    <row r="229" spans="1:5" x14ac:dyDescent="0.3">
      <c r="A229" s="1">
        <v>5.4748508518810343E-2</v>
      </c>
      <c r="B229" s="1">
        <v>0.96317817160542529</v>
      </c>
      <c r="C229" s="1">
        <v>-20.94970170376207</v>
      </c>
      <c r="D229" s="1">
        <v>64.106138138910779</v>
      </c>
      <c r="E229" s="6">
        <v>3</v>
      </c>
    </row>
    <row r="230" spans="1:5" x14ac:dyDescent="0.3">
      <c r="A230" s="1">
        <v>0.44781571091875216</v>
      </c>
      <c r="B230" s="1">
        <v>0.75507401568818144</v>
      </c>
      <c r="C230" s="1">
        <v>-85.218428908124778</v>
      </c>
      <c r="D230" s="1">
        <v>80.436857816249571</v>
      </c>
      <c r="E230" s="6">
        <v>4</v>
      </c>
    </row>
    <row r="231" spans="1:5" x14ac:dyDescent="0.3">
      <c r="A231" s="1">
        <v>0.93405977185892053</v>
      </c>
      <c r="B231" s="1">
        <v>0.22093534930838271</v>
      </c>
      <c r="C231" s="1">
        <v>-36.594022814107944</v>
      </c>
      <c r="D231" s="1">
        <v>-16.811954371784104</v>
      </c>
      <c r="E231" s="6">
        <v>5</v>
      </c>
    </row>
    <row r="232" spans="1:5" x14ac:dyDescent="0.3">
      <c r="A232" s="1">
        <v>-0.92681306469293556</v>
      </c>
      <c r="B232" s="1">
        <v>1.2752894412427364E-2</v>
      </c>
      <c r="C232" s="1">
        <v>75.008741777610581</v>
      </c>
      <c r="D232" s="1">
        <v>-24.443217740339332</v>
      </c>
      <c r="E232" s="6">
        <v>6</v>
      </c>
    </row>
    <row r="233" spans="1:5" x14ac:dyDescent="0.3">
      <c r="A233" s="1">
        <v>-0.46385633112401758</v>
      </c>
      <c r="B233" s="1">
        <v>1.4173867662744574E-2</v>
      </c>
      <c r="C233" s="1">
        <v>61.24358666017816</v>
      </c>
      <c r="D233" s="1">
        <v>-10.622872483068367</v>
      </c>
      <c r="E233" s="6">
        <v>7</v>
      </c>
    </row>
    <row r="234" spans="1:5" x14ac:dyDescent="0.3">
      <c r="A234" s="1">
        <v>-3.3093634463994409E-3</v>
      </c>
      <c r="B234" s="1">
        <v>2.8578895047392798E-2</v>
      </c>
      <c r="C234" s="1">
        <v>24.784196370693497</v>
      </c>
      <c r="D234" s="1">
        <v>33.72873110799771</v>
      </c>
      <c r="E234" s="6">
        <v>8</v>
      </c>
    </row>
    <row r="235" spans="1:5" x14ac:dyDescent="0.3">
      <c r="A235" s="1">
        <v>0.43367006943789238</v>
      </c>
      <c r="B235" s="1">
        <v>-3.7683592473314022E-2</v>
      </c>
      <c r="C235" s="1">
        <v>-59.708133644716128</v>
      </c>
      <c r="D235" s="1">
        <v>63.817939353795353</v>
      </c>
      <c r="E235" s="6">
        <v>9</v>
      </c>
    </row>
    <row r="236" spans="1:5" x14ac:dyDescent="0.3">
      <c r="A236" s="1">
        <v>0.92874961472591056</v>
      </c>
      <c r="B236" s="1">
        <v>-3.739328459295841E-2</v>
      </c>
      <c r="C236" s="1">
        <v>-30.959600152623231</v>
      </c>
      <c r="D236" s="1">
        <v>-11.76759710015873</v>
      </c>
      <c r="E236" s="6">
        <v>10</v>
      </c>
    </row>
    <row r="237" spans="1:5" x14ac:dyDescent="0.3">
      <c r="A237" s="1">
        <v>-0.89200974375462094</v>
      </c>
      <c r="B237" s="1">
        <v>-0.42811953197842834</v>
      </c>
      <c r="C237" s="1">
        <v>88.200162395910354</v>
      </c>
      <c r="D237" s="1">
        <v>-38.200162395910347</v>
      </c>
      <c r="E237" s="6">
        <v>11</v>
      </c>
    </row>
    <row r="238" spans="1:5" x14ac:dyDescent="0.3">
      <c r="A238" s="1">
        <v>-0.43143696310374674</v>
      </c>
      <c r="B238" s="1">
        <v>-0.69984060414317306</v>
      </c>
      <c r="C238" s="1">
        <v>80.523949385062451</v>
      </c>
      <c r="D238" s="1">
        <v>-30.523949385062448</v>
      </c>
      <c r="E238" s="6">
        <v>12</v>
      </c>
    </row>
    <row r="239" spans="1:5" x14ac:dyDescent="0.3">
      <c r="A239" s="1">
        <v>-4.600331095593127E-2</v>
      </c>
      <c r="B239" s="1">
        <v>-0.23137926604043302</v>
      </c>
      <c r="C239" s="1">
        <v>62.300165547796567</v>
      </c>
      <c r="D239" s="1">
        <v>-12.300165547796563</v>
      </c>
      <c r="E239" s="6">
        <v>13</v>
      </c>
    </row>
    <row r="240" spans="1:5" x14ac:dyDescent="0.3">
      <c r="A240" s="1">
        <v>0.44257178837854494</v>
      </c>
      <c r="B240" s="1">
        <v>-0.69817506070617097</v>
      </c>
      <c r="C240" s="1">
        <v>7.1618807747636719</v>
      </c>
      <c r="D240" s="1">
        <v>44.323761549527347</v>
      </c>
      <c r="E240" s="6">
        <v>14</v>
      </c>
    </row>
    <row r="241" spans="1:5" x14ac:dyDescent="0.3">
      <c r="A241" s="1">
        <v>0.90249743714119901</v>
      </c>
      <c r="B241" s="1">
        <v>-0.91167377603083366</v>
      </c>
      <c r="C241" s="1">
        <v>-23.499829142746602</v>
      </c>
      <c r="D241" s="1">
        <v>-16.999658285493201</v>
      </c>
      <c r="E241" s="6">
        <v>15</v>
      </c>
    </row>
    <row r="242" spans="1:5" x14ac:dyDescent="0.3">
      <c r="A242" s="1">
        <v>-0.90431692052938883</v>
      </c>
      <c r="B242" s="1">
        <v>0.58745590515121482</v>
      </c>
      <c r="C242" s="1">
        <v>58.40528200882315</v>
      </c>
      <c r="D242" s="1">
        <v>-6.8105640176462936</v>
      </c>
      <c r="E242" s="6">
        <v>1</v>
      </c>
    </row>
    <row r="243" spans="1:5" x14ac:dyDescent="0.3">
      <c r="A243" s="1">
        <v>-0.44974727314559027</v>
      </c>
      <c r="B243" s="1">
        <v>0.8534115121380047</v>
      </c>
      <c r="C243" s="1">
        <v>50.829121219093174</v>
      </c>
      <c r="D243" s="1">
        <v>8.3417575618136581</v>
      </c>
      <c r="E243" s="6">
        <v>2</v>
      </c>
    </row>
    <row r="244" spans="1:5" x14ac:dyDescent="0.3">
      <c r="A244" s="1">
        <v>5.4736429320510968E-2</v>
      </c>
      <c r="B244" s="1">
        <v>0.59525318701380037</v>
      </c>
      <c r="C244" s="1">
        <v>-20.947285864102195</v>
      </c>
      <c r="D244" s="1">
        <v>64.105232199038326</v>
      </c>
      <c r="E244" s="6">
        <v>3</v>
      </c>
    </row>
    <row r="245" spans="1:5" x14ac:dyDescent="0.3">
      <c r="A245" s="1">
        <v>0.48303808850653374</v>
      </c>
      <c r="B245" s="1">
        <v>0.47500034112437306</v>
      </c>
      <c r="C245" s="1">
        <v>-81.696191149346632</v>
      </c>
      <c r="D245" s="1">
        <v>73.392382298693249</v>
      </c>
      <c r="E245" s="6">
        <v>4</v>
      </c>
    </row>
    <row r="246" spans="1:5" x14ac:dyDescent="0.3">
      <c r="A246" s="1">
        <v>0.97086196967905081</v>
      </c>
      <c r="B246" s="1">
        <v>0.80941997023047285</v>
      </c>
      <c r="C246" s="1">
        <v>-32.913803032094918</v>
      </c>
      <c r="D246" s="1">
        <v>-24.172393935810163</v>
      </c>
      <c r="E246" s="6">
        <v>5</v>
      </c>
    </row>
    <row r="247" spans="1:5" x14ac:dyDescent="0.3">
      <c r="A247" s="1">
        <v>-0.9044953731677835</v>
      </c>
      <c r="B247" s="1">
        <v>-6.5363733068010202E-3</v>
      </c>
      <c r="C247" s="1">
        <v>77.318597576522279</v>
      </c>
      <c r="D247" s="1">
        <v>-27.318597576522276</v>
      </c>
      <c r="E247" s="6">
        <v>6</v>
      </c>
    </row>
    <row r="248" spans="1:5" x14ac:dyDescent="0.3">
      <c r="A248" s="1">
        <v>-0.49712035850047476</v>
      </c>
      <c r="B248" s="1">
        <v>3.2918210263588051E-2</v>
      </c>
      <c r="C248" s="1">
        <v>61.202231063785561</v>
      </c>
      <c r="D248" s="1">
        <v>-9.9588469275042861</v>
      </c>
      <c r="E248" s="6">
        <v>7</v>
      </c>
    </row>
    <row r="249" spans="1:5" x14ac:dyDescent="0.3">
      <c r="A249" s="1">
        <v>-5.2135445247427407E-2</v>
      </c>
      <c r="B249" s="1">
        <v>3.6832167304168974E-2</v>
      </c>
      <c r="C249" s="1">
        <v>29.326153604407558</v>
      </c>
      <c r="D249" s="1">
        <v>28.179159864464008</v>
      </c>
      <c r="E249" s="6">
        <v>8</v>
      </c>
    </row>
    <row r="250" spans="1:5" x14ac:dyDescent="0.3">
      <c r="A250" s="1">
        <v>0.48151542975545353</v>
      </c>
      <c r="B250" s="1">
        <v>-7.449003798806017E-3</v>
      </c>
      <c r="C250" s="1">
        <v>-68.82515917851741</v>
      </c>
      <c r="D250" s="1">
        <v>61.238729628357248</v>
      </c>
      <c r="E250" s="6">
        <v>9</v>
      </c>
    </row>
    <row r="251" spans="1:5" x14ac:dyDescent="0.3">
      <c r="A251" s="1">
        <v>0.93981181449439566</v>
      </c>
      <c r="B251" s="1">
        <v>-3.2862364214073569E-2</v>
      </c>
      <c r="C251" s="1">
        <v>-30.835510268349264</v>
      </c>
      <c r="D251" s="1">
        <v>-14.125304901363997</v>
      </c>
      <c r="E251" s="6">
        <v>10</v>
      </c>
    </row>
    <row r="252" spans="1:5" x14ac:dyDescent="0.3">
      <c r="A252" s="1">
        <v>-0.90430120907943601</v>
      </c>
      <c r="B252" s="1">
        <v>-0.24362351469490195</v>
      </c>
      <c r="C252" s="1">
        <v>88.405020151323924</v>
      </c>
      <c r="D252" s="1">
        <v>-38.405020151323932</v>
      </c>
      <c r="E252" s="6">
        <v>11</v>
      </c>
    </row>
    <row r="253" spans="1:5" x14ac:dyDescent="0.3">
      <c r="A253" s="1">
        <v>-0.43734881416090238</v>
      </c>
      <c r="B253" s="1">
        <v>-0.71584194453462435</v>
      </c>
      <c r="C253" s="1">
        <v>80.622480236015051</v>
      </c>
      <c r="D253" s="1">
        <v>-30.62248023601504</v>
      </c>
      <c r="E253" s="6">
        <v>12</v>
      </c>
    </row>
    <row r="254" spans="1:5" x14ac:dyDescent="0.3">
      <c r="A254" s="1">
        <v>5.056470718258034E-2</v>
      </c>
      <c r="B254" s="1">
        <v>-0.49158817041204805</v>
      </c>
      <c r="C254" s="1">
        <v>53.67941160217746</v>
      </c>
      <c r="D254" s="1">
        <v>-2.4152939226129497</v>
      </c>
      <c r="E254" s="6">
        <v>13</v>
      </c>
    </row>
    <row r="255" spans="1:5" x14ac:dyDescent="0.3">
      <c r="A255" s="1">
        <v>0.47484851893104707</v>
      </c>
      <c r="B255" s="1">
        <v>-0.98805156557529072</v>
      </c>
      <c r="C255" s="1">
        <v>5.0100987379301953</v>
      </c>
      <c r="D255" s="1">
        <v>40.020197475860392</v>
      </c>
      <c r="E255" s="6">
        <v>14</v>
      </c>
    </row>
    <row r="256" spans="1:5" x14ac:dyDescent="0.3">
      <c r="A256" s="1">
        <v>0.93019197443170243</v>
      </c>
      <c r="B256" s="1">
        <v>-0.88882823966148461</v>
      </c>
      <c r="C256" s="1">
        <v>-25.34613162878016</v>
      </c>
      <c r="D256" s="1">
        <v>-20.692263257560324</v>
      </c>
      <c r="E256" s="6">
        <v>15</v>
      </c>
    </row>
    <row r="257" spans="1:5" x14ac:dyDescent="0.3">
      <c r="A257">
        <v>-0.93297800252897489</v>
      </c>
      <c r="B257">
        <v>0.34900334443956726</v>
      </c>
      <c r="C257">
        <v>58.882966708816248</v>
      </c>
      <c r="D257">
        <v>-7.7659334176324961</v>
      </c>
      <c r="E257" s="6">
        <v>1</v>
      </c>
    </row>
    <row r="258" spans="1:5" x14ac:dyDescent="0.3">
      <c r="A258">
        <v>-0.4090652894152913</v>
      </c>
      <c r="B258">
        <v>0.29012618914385724</v>
      </c>
      <c r="C258">
        <v>50.151088156921517</v>
      </c>
      <c r="D258">
        <v>9.6978236861569584</v>
      </c>
      <c r="E258" s="6">
        <v>2</v>
      </c>
    </row>
    <row r="259" spans="1:5" x14ac:dyDescent="0.3">
      <c r="A259">
        <v>3.3516585533398355E-2</v>
      </c>
      <c r="B259">
        <v>0.80875648598796934</v>
      </c>
      <c r="C259">
        <v>-16.70331710667967</v>
      </c>
      <c r="D259">
        <v>62.513743915004873</v>
      </c>
      <c r="E259" s="6">
        <v>3</v>
      </c>
    </row>
    <row r="260" spans="1:5" x14ac:dyDescent="0.3">
      <c r="A260">
        <v>0.49273447659700054</v>
      </c>
      <c r="B260">
        <v>0.57381113348656065</v>
      </c>
      <c r="C260">
        <v>-80.726552340299946</v>
      </c>
      <c r="D260">
        <v>71.453104680599893</v>
      </c>
      <c r="E260" s="6">
        <v>4</v>
      </c>
    </row>
    <row r="261" spans="1:5" x14ac:dyDescent="0.3">
      <c r="A261">
        <v>0.98810782207467163</v>
      </c>
      <c r="B261">
        <v>0.96409373734589776</v>
      </c>
      <c r="C261">
        <v>-31.189217792532837</v>
      </c>
      <c r="D261">
        <v>-27.621564414934326</v>
      </c>
      <c r="E261" s="6">
        <v>5</v>
      </c>
    </row>
    <row r="262" spans="1:5" x14ac:dyDescent="0.3">
      <c r="A262">
        <v>-0.97045714314263698</v>
      </c>
      <c r="B262">
        <v>1.7741330772916612E-2</v>
      </c>
      <c r="C262">
        <v>76.143714487576887</v>
      </c>
      <c r="D262">
        <v>-25.695474505392259</v>
      </c>
      <c r="E262" s="6">
        <v>6</v>
      </c>
    </row>
    <row r="263" spans="1:5" x14ac:dyDescent="0.3">
      <c r="A263">
        <v>-0.45009316165989149</v>
      </c>
      <c r="B263">
        <v>-2.872964782551745E-2</v>
      </c>
      <c r="C263">
        <v>66.03901677553111</v>
      </c>
      <c r="D263">
        <v>-16.03901677553111</v>
      </c>
      <c r="E263" s="6">
        <v>7</v>
      </c>
    </row>
    <row r="264" spans="1:5" x14ac:dyDescent="0.3">
      <c r="A264">
        <v>-3.4528314357521649E-2</v>
      </c>
      <c r="B264">
        <v>8.8192928194565923E-3</v>
      </c>
      <c r="C264">
        <v>31.569293689218984</v>
      </c>
      <c r="D264">
        <v>27.232230869413609</v>
      </c>
      <c r="E264" s="6">
        <v>8</v>
      </c>
    </row>
    <row r="265" spans="1:5" x14ac:dyDescent="0.3">
      <c r="A265">
        <v>0.45419368421556977</v>
      </c>
      <c r="B265">
        <v>3.5947858316423463E-2</v>
      </c>
      <c r="C265">
        <v>-73.872091929479055</v>
      </c>
      <c r="D265">
        <v>64.691744571971725</v>
      </c>
      <c r="E265" s="6">
        <v>9</v>
      </c>
    </row>
    <row r="266" spans="1:5" x14ac:dyDescent="0.3">
      <c r="A266">
        <v>0.90859975002795823</v>
      </c>
      <c r="B266">
        <v>8.0963942897573082E-4</v>
      </c>
      <c r="C266">
        <v>-37.796456143363386</v>
      </c>
      <c r="D266">
        <v>-12.895984699550713</v>
      </c>
      <c r="E266" s="6">
        <v>10</v>
      </c>
    </row>
    <row r="267" spans="1:5" x14ac:dyDescent="0.3">
      <c r="A267">
        <v>-0.94826464374579411</v>
      </c>
      <c r="B267">
        <v>-0.73536729994460281</v>
      </c>
      <c r="C267">
        <v>89.137744062429903</v>
      </c>
      <c r="D267">
        <v>-39.137744062429903</v>
      </c>
      <c r="E267" s="6">
        <v>11</v>
      </c>
    </row>
    <row r="268" spans="1:5" x14ac:dyDescent="0.3">
      <c r="A268">
        <v>-0.33144869870974786</v>
      </c>
      <c r="B268">
        <v>-0.37826293303632985</v>
      </c>
      <c r="C268">
        <v>76.572434935487394</v>
      </c>
      <c r="D268">
        <v>-26.57243493548739</v>
      </c>
      <c r="E268" s="6">
        <v>12</v>
      </c>
    </row>
    <row r="269" spans="1:5" x14ac:dyDescent="0.3">
      <c r="A269">
        <v>-3.583010647456758E-2</v>
      </c>
      <c r="B269">
        <v>-0.93618245453527782</v>
      </c>
      <c r="C269">
        <v>61.791505323728373</v>
      </c>
      <c r="D269">
        <v>-11.791505323728378</v>
      </c>
      <c r="E269" s="6">
        <v>13</v>
      </c>
    </row>
    <row r="270" spans="1:5" x14ac:dyDescent="0.3">
      <c r="A270">
        <v>0.37848567440846376</v>
      </c>
      <c r="B270">
        <v>-0.80213776278697879</v>
      </c>
      <c r="C270">
        <v>12.689290698942033</v>
      </c>
      <c r="D270">
        <v>46.772851161269564</v>
      </c>
      <c r="E270" s="6">
        <v>14</v>
      </c>
    </row>
    <row r="271" spans="1:5" x14ac:dyDescent="0.3">
      <c r="A271">
        <v>0.94298746669547528</v>
      </c>
      <c r="B271">
        <v>-0.2577035659050525</v>
      </c>
      <c r="C271">
        <v>-26.199164446365018</v>
      </c>
      <c r="D271">
        <v>-22.398328892730035</v>
      </c>
      <c r="E271" s="6">
        <v>15</v>
      </c>
    </row>
    <row r="272" spans="1:5" x14ac:dyDescent="0.3">
      <c r="A272">
        <v>-0.90449717400959473</v>
      </c>
      <c r="B272">
        <v>0.317102433169203</v>
      </c>
      <c r="C272">
        <v>58.408286233493243</v>
      </c>
      <c r="D272">
        <v>-6.8165724669864902</v>
      </c>
      <c r="E272" s="6">
        <v>1</v>
      </c>
    </row>
    <row r="273" spans="1:5" x14ac:dyDescent="0.3">
      <c r="A273">
        <v>-0.41114178809714697</v>
      </c>
      <c r="B273">
        <v>0.63169627200389156</v>
      </c>
      <c r="C273">
        <v>50.185696468285784</v>
      </c>
      <c r="D273">
        <v>9.6286070634284364</v>
      </c>
      <c r="E273" s="6">
        <v>2</v>
      </c>
    </row>
    <row r="274" spans="1:5" x14ac:dyDescent="0.3">
      <c r="A274">
        <v>5.3339041508947013E-2</v>
      </c>
      <c r="B274">
        <v>0.28150019402871163</v>
      </c>
      <c r="C274">
        <v>-20.6678083017894</v>
      </c>
      <c r="D274">
        <v>64.000428113171026</v>
      </c>
      <c r="E274" s="6">
        <v>3</v>
      </c>
    </row>
    <row r="275" spans="1:5" x14ac:dyDescent="0.3">
      <c r="A275">
        <v>0.43633568302154291</v>
      </c>
      <c r="B275">
        <v>0.73687340733320938</v>
      </c>
      <c r="C275">
        <v>-86.366431697845712</v>
      </c>
      <c r="D275">
        <v>82.732863395691425</v>
      </c>
      <c r="E275" s="6">
        <v>4</v>
      </c>
    </row>
    <row r="276" spans="1:5" x14ac:dyDescent="0.3">
      <c r="A276">
        <v>0.96221421686405373</v>
      </c>
      <c r="B276">
        <v>0.85106134151080992</v>
      </c>
      <c r="C276">
        <v>-33.778578313594629</v>
      </c>
      <c r="D276">
        <v>-22.442843372810742</v>
      </c>
      <c r="E276" s="6">
        <v>5</v>
      </c>
    </row>
    <row r="277" spans="1:5" x14ac:dyDescent="0.3">
      <c r="A277">
        <v>-0.98511568371801783</v>
      </c>
      <c r="B277">
        <v>1.4710155807816649E-2</v>
      </c>
      <c r="C277">
        <v>77.41678915327229</v>
      </c>
      <c r="D277">
        <v>-27.180443366703276</v>
      </c>
      <c r="E277" s="6">
        <v>6</v>
      </c>
    </row>
    <row r="278" spans="1:5" x14ac:dyDescent="0.3">
      <c r="A278">
        <v>-0.49050892150054587</v>
      </c>
      <c r="B278">
        <v>2.5639615264749928E-2</v>
      </c>
      <c r="C278">
        <v>61.380920566434966</v>
      </c>
      <c r="D278">
        <v>-10.360557076355756</v>
      </c>
      <c r="E278" s="6">
        <v>7</v>
      </c>
    </row>
    <row r="279" spans="1:5" x14ac:dyDescent="0.3">
      <c r="A279">
        <v>7.0142255121296293E-3</v>
      </c>
      <c r="B279">
        <v>-2.1632112041251102E-2</v>
      </c>
      <c r="C279">
        <v>30.932490037684865</v>
      </c>
      <c r="D279">
        <v>27.006067640075333</v>
      </c>
      <c r="E279" s="6">
        <v>8</v>
      </c>
    </row>
    <row r="280" spans="1:5" x14ac:dyDescent="0.3">
      <c r="A280">
        <v>0.39659417062525537</v>
      </c>
      <c r="B280">
        <v>5.6395896864531933E-3</v>
      </c>
      <c r="C280">
        <v>-78.770297057703004</v>
      </c>
      <c r="D280">
        <v>79.691217643837462</v>
      </c>
      <c r="E280" s="6">
        <v>9</v>
      </c>
    </row>
    <row r="281" spans="1:5" x14ac:dyDescent="0.3">
      <c r="A281">
        <v>0.90598294629289944</v>
      </c>
      <c r="B281">
        <v>-6.3996105727806632E-3</v>
      </c>
      <c r="C281">
        <v>-36.160579278203159</v>
      </c>
      <c r="D281">
        <v>-11.39438295982038</v>
      </c>
      <c r="E281" s="6">
        <v>10</v>
      </c>
    </row>
    <row r="282" spans="1:5" x14ac:dyDescent="0.3">
      <c r="A282">
        <v>-0.99137642071113641</v>
      </c>
      <c r="B282">
        <v>-0.63510357404082551</v>
      </c>
      <c r="C282">
        <v>89.856273678518932</v>
      </c>
      <c r="D282">
        <v>-39.856273678518939</v>
      </c>
      <c r="E282" s="6">
        <v>11</v>
      </c>
    </row>
    <row r="283" spans="1:5" x14ac:dyDescent="0.3">
      <c r="A283">
        <v>-0.3427121663946594</v>
      </c>
      <c r="B283">
        <v>-0.58229526182759639</v>
      </c>
      <c r="C283">
        <v>77.135608319732967</v>
      </c>
      <c r="D283">
        <v>-27.13560831973297</v>
      </c>
      <c r="E283" s="6">
        <v>12</v>
      </c>
    </row>
    <row r="284" spans="1:5" x14ac:dyDescent="0.3">
      <c r="A284">
        <v>7.2380165918898162E-2</v>
      </c>
      <c r="B284">
        <v>-0.71607478025585269</v>
      </c>
      <c r="C284">
        <v>50.952479260137729</v>
      </c>
      <c r="D284">
        <v>0.85702488783472397</v>
      </c>
      <c r="E284" s="6">
        <v>13</v>
      </c>
    </row>
    <row r="285" spans="1:5" x14ac:dyDescent="0.3">
      <c r="A285">
        <v>0.36556120575396883</v>
      </c>
      <c r="B285">
        <v>-0.43109905779250701</v>
      </c>
      <c r="C285">
        <v>14.304849280753899</v>
      </c>
      <c r="D285">
        <v>44.83418086309532</v>
      </c>
      <c r="E285" s="6">
        <v>14</v>
      </c>
    </row>
    <row r="286" spans="1:5" x14ac:dyDescent="0.3">
      <c r="A286">
        <v>0.99008672397674691</v>
      </c>
      <c r="B286">
        <v>-0.50871576544567843</v>
      </c>
      <c r="C286">
        <v>-29.339114931783126</v>
      </c>
      <c r="D286">
        <v>-28.678229863566251</v>
      </c>
      <c r="E286" s="6">
        <v>15</v>
      </c>
    </row>
    <row r="287" spans="1:5" x14ac:dyDescent="0.3">
      <c r="A287">
        <v>-0.90893302265001574</v>
      </c>
      <c r="B287">
        <v>0.93578491897122329</v>
      </c>
      <c r="C287">
        <v>58.48221704416693</v>
      </c>
      <c r="D287">
        <v>-6.9644340883338574</v>
      </c>
      <c r="E287" s="6">
        <v>1</v>
      </c>
    </row>
    <row r="288" spans="1:5" x14ac:dyDescent="0.3">
      <c r="A288">
        <v>-0.45781595104020434</v>
      </c>
      <c r="B288">
        <v>0.79549575565584574</v>
      </c>
      <c r="C288">
        <v>50.963599184003407</v>
      </c>
      <c r="D288">
        <v>8.0728016319931903</v>
      </c>
      <c r="E288" s="6">
        <v>2</v>
      </c>
    </row>
    <row r="289" spans="1:5" x14ac:dyDescent="0.3">
      <c r="A289">
        <v>4.2874724185892513E-2</v>
      </c>
      <c r="B289">
        <v>0.26191935102400243</v>
      </c>
      <c r="C289">
        <v>-18.574944837178503</v>
      </c>
      <c r="D289">
        <v>63.215604313941938</v>
      </c>
      <c r="E289" s="6">
        <v>3</v>
      </c>
    </row>
    <row r="290" spans="1:5" x14ac:dyDescent="0.3">
      <c r="A290">
        <v>0.33622693776668788</v>
      </c>
      <c r="B290">
        <v>0.34805746623020306</v>
      </c>
      <c r="C290">
        <v>-77.245387553337579</v>
      </c>
      <c r="D290">
        <v>85.21702033250159</v>
      </c>
      <c r="E290" s="6">
        <v>4</v>
      </c>
    </row>
    <row r="291" spans="1:5" x14ac:dyDescent="0.3">
      <c r="A291">
        <v>0.96898445191067073</v>
      </c>
      <c r="B291">
        <v>0.90471923748988115</v>
      </c>
      <c r="C291">
        <v>-33.101554808932931</v>
      </c>
      <c r="D291">
        <v>-23.796890382134148</v>
      </c>
      <c r="E291" s="6">
        <v>5</v>
      </c>
    </row>
    <row r="292" spans="1:5" x14ac:dyDescent="0.3">
      <c r="A292">
        <v>-0.99645933193135328</v>
      </c>
      <c r="B292">
        <v>9.9397846834798978E-3</v>
      </c>
      <c r="C292">
        <v>78.726001874209786</v>
      </c>
      <c r="D292">
        <v>-28.667679078599313</v>
      </c>
      <c r="E292" s="6">
        <v>6</v>
      </c>
    </row>
    <row r="293" spans="1:5" x14ac:dyDescent="0.3">
      <c r="A293">
        <v>-0.3692318292318244</v>
      </c>
      <c r="B293">
        <v>1.8008010177416232E-2</v>
      </c>
      <c r="C293">
        <v>52.553181686787745</v>
      </c>
      <c r="D293">
        <v>-1.1061842325743143</v>
      </c>
      <c r="E293" s="6">
        <v>7</v>
      </c>
    </row>
    <row r="294" spans="1:5" x14ac:dyDescent="0.3">
      <c r="A294">
        <v>-4.5279358492139037E-2</v>
      </c>
      <c r="B294">
        <v>-3.4610903338156022E-2</v>
      </c>
      <c r="C294">
        <v>41.617371544624149</v>
      </c>
      <c r="D294">
        <v>15.125515328473428</v>
      </c>
      <c r="E294" s="6">
        <v>8</v>
      </c>
    </row>
    <row r="295" spans="1:5" x14ac:dyDescent="0.3">
      <c r="A295">
        <v>0.40372950718712963</v>
      </c>
      <c r="B295">
        <v>8.4290853650265812E-3</v>
      </c>
      <c r="C295">
        <v>-79.802327144843076</v>
      </c>
      <c r="D295">
        <v>79.065584662032848</v>
      </c>
      <c r="E295" s="6">
        <v>9</v>
      </c>
    </row>
    <row r="296" spans="1:5" x14ac:dyDescent="0.3">
      <c r="A296">
        <v>0.89945716048262037</v>
      </c>
      <c r="B296">
        <v>3.6357945214701544E-2</v>
      </c>
      <c r="C296">
        <v>-43.805904457358153</v>
      </c>
      <c r="D296">
        <v>-1.1331088618875145</v>
      </c>
      <c r="E296" s="6">
        <v>10</v>
      </c>
    </row>
    <row r="297" spans="1:5" x14ac:dyDescent="0.3">
      <c r="A297">
        <v>-0.89143629974188354</v>
      </c>
      <c r="B297">
        <v>-0.18689682704933541</v>
      </c>
      <c r="C297">
        <v>86.083196006917305</v>
      </c>
      <c r="D297">
        <v>-36.083196006917312</v>
      </c>
      <c r="E297" s="6">
        <v>11</v>
      </c>
    </row>
    <row r="298" spans="1:5" x14ac:dyDescent="0.3">
      <c r="A298">
        <v>-0.5197392098037229</v>
      </c>
      <c r="B298">
        <v>-0.16609637315860104</v>
      </c>
      <c r="C298">
        <v>78.95842314333791</v>
      </c>
      <c r="D298">
        <v>-28.958423143337907</v>
      </c>
      <c r="E298" s="6">
        <v>12</v>
      </c>
    </row>
    <row r="299" spans="1:5" x14ac:dyDescent="0.3">
      <c r="A299">
        <v>-4.3282428846566461E-2</v>
      </c>
      <c r="B299">
        <v>-0.7890181296296469</v>
      </c>
      <c r="C299">
        <v>62.164121442328323</v>
      </c>
      <c r="D299">
        <v>-12.164121442328323</v>
      </c>
      <c r="E299" s="6">
        <v>13</v>
      </c>
    </row>
    <row r="300" spans="1:5" x14ac:dyDescent="0.3">
      <c r="A300">
        <v>0.34943944948961775</v>
      </c>
      <c r="B300">
        <v>-0.79556377654499388</v>
      </c>
      <c r="C300">
        <v>16.320068813797782</v>
      </c>
      <c r="D300">
        <v>42.415917423442657</v>
      </c>
      <c r="E300" s="6">
        <v>14</v>
      </c>
    </row>
    <row r="301" spans="1:5" x14ac:dyDescent="0.3">
      <c r="A301">
        <v>0.91019514012003677</v>
      </c>
      <c r="B301">
        <v>-0.43432158200978055</v>
      </c>
      <c r="C301">
        <v>-24.013009341335785</v>
      </c>
      <c r="D301">
        <v>-18.02601868267157</v>
      </c>
      <c r="E301" s="6">
        <v>15</v>
      </c>
    </row>
    <row r="302" spans="1:5" x14ac:dyDescent="0.3">
      <c r="A302">
        <v>-0.97814790818264319</v>
      </c>
      <c r="B302">
        <v>0.2367890863884409</v>
      </c>
      <c r="C302">
        <v>59.635798469710721</v>
      </c>
      <c r="D302">
        <v>-9.271596939421439</v>
      </c>
      <c r="E302" s="6">
        <v>1</v>
      </c>
    </row>
    <row r="303" spans="1:5" x14ac:dyDescent="0.3">
      <c r="A303">
        <v>-0.36609539303202099</v>
      </c>
      <c r="B303">
        <v>0.41635048919725748</v>
      </c>
      <c r="C303">
        <v>44.914308954803147</v>
      </c>
      <c r="D303">
        <v>14.238075870997379</v>
      </c>
      <c r="E303" s="6">
        <v>2</v>
      </c>
    </row>
    <row r="304" spans="1:5" x14ac:dyDescent="0.3">
      <c r="A304">
        <v>5.3824553870720007E-2</v>
      </c>
      <c r="B304">
        <v>0.785724461498158</v>
      </c>
      <c r="C304">
        <v>-20.764910774143999</v>
      </c>
      <c r="D304">
        <v>64.036841540303996</v>
      </c>
      <c r="E304" s="6">
        <v>3</v>
      </c>
    </row>
    <row r="305" spans="1:5" x14ac:dyDescent="0.3">
      <c r="A305">
        <v>0.5019517316197688</v>
      </c>
      <c r="B305">
        <v>0.86187600452775837</v>
      </c>
      <c r="C305">
        <v>-79.804826838023118</v>
      </c>
      <c r="D305">
        <v>69.60965367604625</v>
      </c>
      <c r="E305" s="6">
        <v>4</v>
      </c>
    </row>
    <row r="306" spans="1:5" x14ac:dyDescent="0.3">
      <c r="A306">
        <v>0.94194032159310792</v>
      </c>
      <c r="B306">
        <v>0.2003589862183266</v>
      </c>
      <c r="C306">
        <v>-35.805967840689206</v>
      </c>
      <c r="D306">
        <v>-18.388064318621584</v>
      </c>
      <c r="E306" s="6">
        <v>5</v>
      </c>
    </row>
    <row r="307" spans="1:5" x14ac:dyDescent="0.3">
      <c r="A307">
        <v>-0.99161938373749148</v>
      </c>
      <c r="B307">
        <v>2.6300657669479512E-2</v>
      </c>
      <c r="C307">
        <v>76.76200421171383</v>
      </c>
      <c r="D307">
        <v>-26.626123163740068</v>
      </c>
      <c r="E307" s="6">
        <v>6</v>
      </c>
    </row>
    <row r="308" spans="1:5" x14ac:dyDescent="0.3">
      <c r="A308">
        <v>-0.39950902191352328</v>
      </c>
      <c r="B308">
        <v>4.136702716172766E-3</v>
      </c>
      <c r="C308">
        <v>59.671227443176363</v>
      </c>
      <c r="D308">
        <v>-9.4526544280095059</v>
      </c>
      <c r="E308" s="6">
        <v>7</v>
      </c>
    </row>
    <row r="309" spans="1:5" x14ac:dyDescent="0.3">
      <c r="A309">
        <v>2.4477400521889528E-2</v>
      </c>
      <c r="B309">
        <v>-3.3171832317494578E-2</v>
      </c>
      <c r="C309">
        <v>27.345496415173091</v>
      </c>
      <c r="D309">
        <v>27.905516219714951</v>
      </c>
      <c r="E309" s="6">
        <v>8</v>
      </c>
    </row>
    <row r="310" spans="1:5" x14ac:dyDescent="0.3">
      <c r="A310">
        <v>0.41516957000436128</v>
      </c>
      <c r="B310">
        <v>1.8837032975041731E-2</v>
      </c>
      <c r="C310">
        <v>-78.489946203924916</v>
      </c>
      <c r="D310">
        <v>75.602058898532206</v>
      </c>
      <c r="E310" s="6">
        <v>9</v>
      </c>
    </row>
    <row r="311" spans="1:5" x14ac:dyDescent="0.3">
      <c r="A311">
        <v>0.99041796376826952</v>
      </c>
      <c r="B311">
        <v>2.2477349598900798E-2</v>
      </c>
      <c r="C311">
        <v>-31.702333892366717</v>
      </c>
      <c r="D311">
        <v>-26.440574588687763</v>
      </c>
      <c r="E311" s="6">
        <v>10</v>
      </c>
    </row>
    <row r="312" spans="1:5" x14ac:dyDescent="0.3">
      <c r="A312">
        <v>-0.89497951108789353</v>
      </c>
      <c r="B312">
        <v>-0.9237514272725843</v>
      </c>
      <c r="C312">
        <v>88.249658518131554</v>
      </c>
      <c r="D312">
        <v>-38.249658518131561</v>
      </c>
      <c r="E312" s="6">
        <v>11</v>
      </c>
    </row>
    <row r="313" spans="1:5" x14ac:dyDescent="0.3">
      <c r="A313">
        <v>-0.49784954358957789</v>
      </c>
      <c r="B313">
        <v>-0.37624878639231618</v>
      </c>
      <c r="C313">
        <v>81.630825726492958</v>
      </c>
      <c r="D313">
        <v>-31.630825726492965</v>
      </c>
      <c r="E313" s="6">
        <v>12</v>
      </c>
    </row>
    <row r="314" spans="1:5" x14ac:dyDescent="0.3">
      <c r="A314">
        <v>-1.5580844248332268E-2</v>
      </c>
      <c r="B314">
        <v>-0.53028741045846883</v>
      </c>
      <c r="C314">
        <v>60.779042212416606</v>
      </c>
      <c r="D314">
        <v>-10.779042212416613</v>
      </c>
      <c r="E314" s="6">
        <v>13</v>
      </c>
    </row>
    <row r="315" spans="1:5" x14ac:dyDescent="0.3">
      <c r="A315">
        <v>0.35695784599184804</v>
      </c>
      <c r="B315">
        <v>-0.56516492993920642</v>
      </c>
      <c r="C315">
        <v>15.380269251018998</v>
      </c>
      <c r="D315">
        <v>43.5436768987772</v>
      </c>
      <c r="E315" s="6">
        <v>14</v>
      </c>
    </row>
    <row r="316" spans="1:5" x14ac:dyDescent="0.3">
      <c r="A316">
        <v>0.9448048830540815</v>
      </c>
      <c r="B316">
        <v>-0.5511492525387538</v>
      </c>
      <c r="C316">
        <v>-26.320325536938768</v>
      </c>
      <c r="D316">
        <v>-22.640651073877535</v>
      </c>
      <c r="E316" s="6">
        <v>15</v>
      </c>
    </row>
    <row r="317" spans="1:5" x14ac:dyDescent="0.3">
      <c r="A317">
        <v>-0.9202752519283881</v>
      </c>
      <c r="B317">
        <v>0.47907479689505816</v>
      </c>
      <c r="C317">
        <v>58.671254198806466</v>
      </c>
      <c r="D317">
        <v>-7.3425083976129377</v>
      </c>
      <c r="E317" s="6">
        <v>1</v>
      </c>
    </row>
    <row r="318" spans="1:5" x14ac:dyDescent="0.3">
      <c r="A318">
        <v>-0.33385483162897506</v>
      </c>
      <c r="B318">
        <v>0.43187190413535537</v>
      </c>
      <c r="C318">
        <v>40.078224744346258</v>
      </c>
      <c r="D318">
        <v>18.268146046378121</v>
      </c>
      <c r="E318" s="6">
        <v>2</v>
      </c>
    </row>
    <row r="319" spans="1:5" x14ac:dyDescent="0.3">
      <c r="A319">
        <v>5.3531683516420403E-3</v>
      </c>
      <c r="B319">
        <v>0.39797235077644177</v>
      </c>
      <c r="C319">
        <v>-11.070633670328409</v>
      </c>
      <c r="D319">
        <v>60.401487626373147</v>
      </c>
      <c r="E319" s="6">
        <v>3</v>
      </c>
    </row>
    <row r="320" spans="1:5" x14ac:dyDescent="0.3">
      <c r="A320">
        <v>0.48537969555979193</v>
      </c>
      <c r="B320">
        <v>0.20675824155322428</v>
      </c>
      <c r="C320">
        <v>-81.462030444020812</v>
      </c>
      <c r="D320">
        <v>72.924060888041609</v>
      </c>
      <c r="E320" s="6">
        <v>4</v>
      </c>
    </row>
    <row r="321" spans="1:5" x14ac:dyDescent="0.3">
      <c r="A321">
        <v>0.99557816048947068</v>
      </c>
      <c r="B321">
        <v>0.77456627616364759</v>
      </c>
      <c r="C321">
        <v>-30.442183951052932</v>
      </c>
      <c r="D321">
        <v>-29.115632097894135</v>
      </c>
      <c r="E321" s="6">
        <v>5</v>
      </c>
    </row>
    <row r="322" spans="1:5" x14ac:dyDescent="0.3">
      <c r="A322">
        <v>-0.89165370619138995</v>
      </c>
      <c r="B322">
        <v>1.0098194941299682E-3</v>
      </c>
      <c r="C322">
        <v>76.174631318185135</v>
      </c>
      <c r="D322">
        <v>-26.124645113913758</v>
      </c>
      <c r="E322" s="6">
        <v>6</v>
      </c>
    </row>
    <row r="323" spans="1:5" x14ac:dyDescent="0.3">
      <c r="A323">
        <v>-0.39576501485602261</v>
      </c>
      <c r="B323">
        <v>6.7093300483524118E-3</v>
      </c>
      <c r="C323">
        <v>58.634697392878977</v>
      </c>
      <c r="D323">
        <v>-8.2025078434676217</v>
      </c>
      <c r="E323" s="6">
        <v>7</v>
      </c>
    </row>
    <row r="324" spans="1:5" x14ac:dyDescent="0.3">
      <c r="A324">
        <v>3.5978978537007475E-2</v>
      </c>
      <c r="B324">
        <v>2.1306214313408345E-2</v>
      </c>
      <c r="C324">
        <v>8.8547643725406608</v>
      </c>
      <c r="D324">
        <v>41.094336729350182</v>
      </c>
      <c r="E324" s="6">
        <v>8</v>
      </c>
    </row>
    <row r="325" spans="1:5" x14ac:dyDescent="0.3">
      <c r="A325">
        <v>0.45747310276327402</v>
      </c>
      <c r="B325">
        <v>-2.0868791068240355E-2</v>
      </c>
      <c r="C325">
        <v>-64.080083540873261</v>
      </c>
      <c r="D325">
        <v>59.687599302151042</v>
      </c>
      <c r="E325" s="6">
        <v>9</v>
      </c>
    </row>
    <row r="326" spans="1:5" x14ac:dyDescent="0.3">
      <c r="A326">
        <v>0.94386373974291149</v>
      </c>
      <c r="B326">
        <v>-5.8068581973041988E-4</v>
      </c>
      <c r="C326">
        <v>-34.535547244448935</v>
      </c>
      <c r="D326">
        <v>-19.536836067559104</v>
      </c>
      <c r="E326" s="6">
        <v>10</v>
      </c>
    </row>
    <row r="327" spans="1:5" x14ac:dyDescent="0.3">
      <c r="A327">
        <v>-0.95900679538220723</v>
      </c>
      <c r="B327">
        <v>-0.65455683352639471</v>
      </c>
      <c r="C327">
        <v>89.31677992303679</v>
      </c>
      <c r="D327">
        <v>-39.316779923036783</v>
      </c>
      <c r="E327" s="6">
        <v>11</v>
      </c>
    </row>
    <row r="328" spans="1:5" x14ac:dyDescent="0.3">
      <c r="A328">
        <v>-0.37316172802027447</v>
      </c>
      <c r="B328">
        <v>-0.86064974188613008</v>
      </c>
      <c r="C328">
        <v>78.658086401013719</v>
      </c>
      <c r="D328">
        <v>-28.658086401013726</v>
      </c>
      <c r="E328" s="6">
        <v>12</v>
      </c>
    </row>
    <row r="329" spans="1:5" x14ac:dyDescent="0.3">
      <c r="A329">
        <v>3.3219789498433488E-2</v>
      </c>
      <c r="B329">
        <v>-0.36427088820132514</v>
      </c>
      <c r="C329">
        <v>55.847526312695813</v>
      </c>
      <c r="D329">
        <v>-5.0170315752349772</v>
      </c>
      <c r="E329" s="6">
        <v>13</v>
      </c>
    </row>
    <row r="330" spans="1:5" x14ac:dyDescent="0.3">
      <c r="A330">
        <v>0.42553642494202193</v>
      </c>
      <c r="B330">
        <v>-0.47419964997154995</v>
      </c>
      <c r="C330">
        <v>8.2975716705318732</v>
      </c>
      <c r="D330">
        <v>46.595143341063739</v>
      </c>
      <c r="E330" s="6">
        <v>14</v>
      </c>
    </row>
    <row r="331" spans="1:5" x14ac:dyDescent="0.3">
      <c r="A331">
        <v>0.89859334232392685</v>
      </c>
      <c r="B331">
        <v>-0.37440701089669204</v>
      </c>
      <c r="C331">
        <v>-23.239556154928454</v>
      </c>
      <c r="D331">
        <v>-16.479112309856909</v>
      </c>
      <c r="E331" s="6">
        <v>15</v>
      </c>
    </row>
    <row r="332" spans="1:5" x14ac:dyDescent="0.3">
      <c r="A332">
        <v>-0.9001291479990301</v>
      </c>
      <c r="B332">
        <v>0.58929236064598134</v>
      </c>
      <c r="C332">
        <v>58.335485799983829</v>
      </c>
      <c r="D332">
        <v>-6.6709715999676709</v>
      </c>
      <c r="E332" s="6">
        <v>1</v>
      </c>
    </row>
    <row r="333" spans="1:5" x14ac:dyDescent="0.3">
      <c r="A333">
        <v>-0.37259869856697625</v>
      </c>
      <c r="B333">
        <v>0.82920377026162095</v>
      </c>
      <c r="C333">
        <v>45.889804785046437</v>
      </c>
      <c r="D333">
        <v>13.425162679127972</v>
      </c>
      <c r="E333" s="6">
        <v>2</v>
      </c>
    </row>
    <row r="334" spans="1:5" x14ac:dyDescent="0.3">
      <c r="A334">
        <v>-6.3290501481646583E-2</v>
      </c>
      <c r="B334">
        <v>0.42754105174467272</v>
      </c>
      <c r="C334">
        <v>-0.5064247777530122</v>
      </c>
      <c r="D334">
        <v>52.088687314794178</v>
      </c>
      <c r="E334" s="6">
        <v>3</v>
      </c>
    </row>
    <row r="335" spans="1:5" x14ac:dyDescent="0.3">
      <c r="A335">
        <v>0.43156923020096</v>
      </c>
      <c r="B335">
        <v>0.57108499551606096</v>
      </c>
      <c r="C335">
        <v>-86.843076979904012</v>
      </c>
      <c r="D335">
        <v>83.68615395980801</v>
      </c>
      <c r="E335" s="6">
        <v>4</v>
      </c>
    </row>
    <row r="336" spans="1:5" x14ac:dyDescent="0.3">
      <c r="A336">
        <v>0.98037716200719727</v>
      </c>
      <c r="B336">
        <v>0.80955812349559741</v>
      </c>
      <c r="C336">
        <v>-31.962283799280275</v>
      </c>
      <c r="D336">
        <v>-26.075432401439453</v>
      </c>
      <c r="E336" s="6">
        <v>5</v>
      </c>
    </row>
    <row r="337" spans="1:5" x14ac:dyDescent="0.3">
      <c r="A337">
        <v>-0.90584898686957593</v>
      </c>
      <c r="B337">
        <v>-3.1551295373901292E-2</v>
      </c>
      <c r="C337">
        <v>78.812027154321243</v>
      </c>
      <c r="D337">
        <v>-28.812027154321235</v>
      </c>
      <c r="E337" s="6">
        <v>6</v>
      </c>
    </row>
    <row r="338" spans="1:5" x14ac:dyDescent="0.3">
      <c r="A338">
        <v>-0.3313091180334336</v>
      </c>
      <c r="B338">
        <v>-1.2362037285678244E-2</v>
      </c>
      <c r="C338">
        <v>56.515182072598684</v>
      </c>
      <c r="D338">
        <v>-4.9868437737851607</v>
      </c>
      <c r="E338" s="6">
        <v>7</v>
      </c>
    </row>
    <row r="339" spans="1:5" x14ac:dyDescent="0.3">
      <c r="A339">
        <v>4.1345728413077709E-2</v>
      </c>
      <c r="B339">
        <v>-3.8494628214702856E-3</v>
      </c>
      <c r="C339">
        <v>19.236726056312396</v>
      </c>
      <c r="D339">
        <v>34.605964864460304</v>
      </c>
      <c r="E339" s="6">
        <v>8</v>
      </c>
    </row>
    <row r="340" spans="1:5" x14ac:dyDescent="0.3">
      <c r="A340">
        <v>0.42027371416023629</v>
      </c>
      <c r="B340">
        <v>-2.450139115163337E-2</v>
      </c>
      <c r="C340">
        <v>-66.507248886119044</v>
      </c>
      <c r="D340">
        <v>69.594303209716031</v>
      </c>
      <c r="E340" s="6">
        <v>9</v>
      </c>
    </row>
    <row r="341" spans="1:5" x14ac:dyDescent="0.3">
      <c r="A341">
        <v>0.90760371297292131</v>
      </c>
      <c r="B341">
        <v>-1.2425942697591959E-2</v>
      </c>
      <c r="C341">
        <v>-34.638166174952779</v>
      </c>
      <c r="D341">
        <v>-10.511885565177634</v>
      </c>
      <c r="E341" s="6">
        <v>10</v>
      </c>
    </row>
    <row r="342" spans="1:5" x14ac:dyDescent="0.3">
      <c r="A342">
        <v>-0.97963681257182711</v>
      </c>
      <c r="B342">
        <v>-0.20551295992336671</v>
      </c>
      <c r="C342">
        <v>89.660613542863786</v>
      </c>
      <c r="D342">
        <v>-39.660613542863786</v>
      </c>
      <c r="E342" s="6">
        <v>11</v>
      </c>
    </row>
    <row r="343" spans="1:5" x14ac:dyDescent="0.3">
      <c r="A343">
        <v>-0.48972757760455987</v>
      </c>
      <c r="B343">
        <v>-0.9206394236713864</v>
      </c>
      <c r="C343">
        <v>81.495459626742658</v>
      </c>
      <c r="D343">
        <v>-31.495459626742665</v>
      </c>
      <c r="E343" s="6">
        <v>12</v>
      </c>
    </row>
    <row r="344" spans="1:5" x14ac:dyDescent="0.3">
      <c r="A344">
        <v>-6.7797527408495706E-2</v>
      </c>
      <c r="B344">
        <v>-0.80702399743922593</v>
      </c>
      <c r="C344">
        <v>63.389876370424787</v>
      </c>
      <c r="D344">
        <v>-13.389876370424787</v>
      </c>
      <c r="E344" s="6">
        <v>13</v>
      </c>
    </row>
    <row r="345" spans="1:5" x14ac:dyDescent="0.3">
      <c r="A345">
        <v>0.37120140605641644</v>
      </c>
      <c r="B345">
        <v>-0.83152045310230061</v>
      </c>
      <c r="C345">
        <v>13.59982424294795</v>
      </c>
      <c r="D345">
        <v>45.680210908462463</v>
      </c>
      <c r="E345" s="6">
        <v>14</v>
      </c>
    </row>
    <row r="346" spans="1:5" x14ac:dyDescent="0.3">
      <c r="A346">
        <v>0.98336993173485343</v>
      </c>
      <c r="B346">
        <v>-0.21514950096917418</v>
      </c>
      <c r="C346">
        <v>-28.891328782323562</v>
      </c>
      <c r="D346">
        <v>-27.782657564647124</v>
      </c>
      <c r="E346" s="6">
        <v>15</v>
      </c>
    </row>
    <row r="347" spans="1:5" x14ac:dyDescent="0.3">
      <c r="A347">
        <v>-0.95008554589725103</v>
      </c>
      <c r="B347">
        <v>0.70734682390457415</v>
      </c>
      <c r="C347">
        <v>59.168092431620849</v>
      </c>
      <c r="D347">
        <v>-8.3361848632417015</v>
      </c>
      <c r="E347" s="6">
        <v>1</v>
      </c>
    </row>
    <row r="348" spans="1:5" x14ac:dyDescent="0.3">
      <c r="A348">
        <v>-0.49433560456147951</v>
      </c>
      <c r="B348">
        <v>0.33918879487562781</v>
      </c>
      <c r="C348">
        <v>51.572260076024655</v>
      </c>
      <c r="D348">
        <v>6.8554798479506829</v>
      </c>
      <c r="E348" s="6">
        <v>2</v>
      </c>
    </row>
    <row r="349" spans="1:5" x14ac:dyDescent="0.3">
      <c r="A349">
        <v>9.1544980556954175E-3</v>
      </c>
      <c r="B349">
        <v>0.56926206911848964</v>
      </c>
      <c r="C349">
        <v>-11.830899611139083</v>
      </c>
      <c r="D349">
        <v>60.686587354177156</v>
      </c>
      <c r="E349" s="6">
        <v>3</v>
      </c>
    </row>
    <row r="350" spans="1:5" x14ac:dyDescent="0.3">
      <c r="A350">
        <v>0.51753299131446251</v>
      </c>
      <c r="B350">
        <v>0.17430116079293562</v>
      </c>
      <c r="C350">
        <v>-73.493966225304035</v>
      </c>
      <c r="D350">
        <v>58.010170976006521</v>
      </c>
      <c r="E350" s="6">
        <v>4</v>
      </c>
    </row>
    <row r="351" spans="1:5" x14ac:dyDescent="0.3">
      <c r="A351">
        <v>0.95911615242819381</v>
      </c>
      <c r="B351">
        <v>0.88158591685142895</v>
      </c>
      <c r="C351">
        <v>-34.08838475718062</v>
      </c>
      <c r="D351">
        <v>-21.82323048563876</v>
      </c>
      <c r="E351" s="6">
        <v>5</v>
      </c>
    </row>
    <row r="352" spans="1:5" x14ac:dyDescent="0.3">
      <c r="A352">
        <v>-0.93405503668265633</v>
      </c>
      <c r="B352">
        <v>-1.4549571869120419E-2</v>
      </c>
      <c r="C352">
        <v>78.716113184485934</v>
      </c>
      <c r="D352">
        <v>-28.716113184485941</v>
      </c>
      <c r="E352" s="6">
        <v>6</v>
      </c>
    </row>
    <row r="353" spans="1:5" x14ac:dyDescent="0.3">
      <c r="A353">
        <v>-0.35960799687635475</v>
      </c>
      <c r="B353">
        <v>3.9655379911354267E-2</v>
      </c>
      <c r="C353">
        <v>49.949108439963119</v>
      </c>
      <c r="D353">
        <v>2.5406325121263929</v>
      </c>
      <c r="E353" s="6">
        <v>7</v>
      </c>
    </row>
    <row r="354" spans="1:5" x14ac:dyDescent="0.3">
      <c r="A354">
        <v>-8.2645367999637231E-3</v>
      </c>
      <c r="B354">
        <v>-3.1688139880783311E-2</v>
      </c>
      <c r="C354">
        <v>36.151914714374314</v>
      </c>
      <c r="D354">
        <v>21.929723317014517</v>
      </c>
      <c r="E354" s="6">
        <v>8</v>
      </c>
    </row>
    <row r="355" spans="1:5" x14ac:dyDescent="0.3">
      <c r="A355">
        <v>0.36537221170879514</v>
      </c>
      <c r="B355">
        <v>3.9580495218909752E-2</v>
      </c>
      <c r="C355">
        <v>-68.404203893178291</v>
      </c>
      <c r="D355">
        <v>76.52143659560862</v>
      </c>
      <c r="E355" s="6">
        <v>9</v>
      </c>
    </row>
    <row r="356" spans="1:5" x14ac:dyDescent="0.3">
      <c r="A356">
        <v>0.96798088325500531</v>
      </c>
      <c r="B356">
        <v>2.9256662205397209E-2</v>
      </c>
      <c r="C356">
        <v>-35.304066338828534</v>
      </c>
      <c r="D356">
        <v>-18.909679473358516</v>
      </c>
      <c r="E356" s="6">
        <v>10</v>
      </c>
    </row>
    <row r="357" spans="1:5" x14ac:dyDescent="0.3">
      <c r="A357">
        <v>-0.91557418066799046</v>
      </c>
      <c r="B357">
        <v>-0.68492994032772225</v>
      </c>
      <c r="C357">
        <v>88.592903011133174</v>
      </c>
      <c r="D357">
        <v>-38.592903011133174</v>
      </c>
      <c r="E357" s="6">
        <v>11</v>
      </c>
    </row>
    <row r="358" spans="1:5" x14ac:dyDescent="0.3">
      <c r="A358">
        <v>-0.48467693745689638</v>
      </c>
      <c r="B358">
        <v>-0.2390143962385376</v>
      </c>
      <c r="C358">
        <v>81.411282290948279</v>
      </c>
      <c r="D358">
        <v>-31.411282290948272</v>
      </c>
      <c r="E358" s="6">
        <v>12</v>
      </c>
    </row>
    <row r="359" spans="1:5" x14ac:dyDescent="0.3">
      <c r="A359">
        <v>3.0077447549838349E-2</v>
      </c>
      <c r="B359">
        <v>-0.76137733665580443</v>
      </c>
      <c r="C359">
        <v>56.240319056270202</v>
      </c>
      <c r="D359">
        <v>-5.4883828675242468</v>
      </c>
      <c r="E359" s="6">
        <v>13</v>
      </c>
    </row>
    <row r="360" spans="1:5" x14ac:dyDescent="0.3">
      <c r="A360">
        <v>0.39373088689462737</v>
      </c>
      <c r="B360">
        <v>-0.47583537721029412</v>
      </c>
      <c r="C360">
        <v>10.78363913817158</v>
      </c>
      <c r="D360">
        <v>49.059633034194107</v>
      </c>
      <c r="E360" s="6">
        <v>14</v>
      </c>
    </row>
    <row r="361" spans="1:5" x14ac:dyDescent="0.3">
      <c r="A361">
        <v>0.89634045043520094</v>
      </c>
      <c r="B361">
        <v>-0.3385397345015938</v>
      </c>
      <c r="C361">
        <v>-23.089363362346731</v>
      </c>
      <c r="D361">
        <v>-16.178726724693458</v>
      </c>
      <c r="E361" s="6">
        <v>15</v>
      </c>
    </row>
    <row r="362" spans="1:5" x14ac:dyDescent="0.3">
      <c r="A362">
        <v>-0.97099315758669413</v>
      </c>
      <c r="B362">
        <v>0.82299969245008409</v>
      </c>
      <c r="C362">
        <v>59.516552626444899</v>
      </c>
      <c r="D362">
        <v>-9.0331052528898041</v>
      </c>
      <c r="E362" s="6">
        <v>1</v>
      </c>
    </row>
    <row r="363" spans="1:5" x14ac:dyDescent="0.3">
      <c r="A363">
        <v>-0.42586915482363918</v>
      </c>
      <c r="B363">
        <v>0.47383959151406729</v>
      </c>
      <c r="C363">
        <v>50.431152580393984</v>
      </c>
      <c r="D363">
        <v>9.1376948392120276</v>
      </c>
      <c r="E363" s="6">
        <v>2</v>
      </c>
    </row>
    <row r="364" spans="1:5" x14ac:dyDescent="0.3">
      <c r="A364">
        <v>-1.9427712747484664E-2</v>
      </c>
      <c r="B364">
        <v>0.77931738872960887</v>
      </c>
      <c r="C364">
        <v>-7.0858430878773007</v>
      </c>
      <c r="D364">
        <v>57.571535906564421</v>
      </c>
      <c r="E364" s="6">
        <v>3</v>
      </c>
    </row>
    <row r="365" spans="1:5" x14ac:dyDescent="0.3">
      <c r="A365">
        <v>0.41781796070696509</v>
      </c>
      <c r="B365">
        <v>0.89369048174063015</v>
      </c>
      <c r="C365">
        <v>-88.218203929303499</v>
      </c>
      <c r="D365">
        <v>86.436407858606984</v>
      </c>
      <c r="E365" s="6">
        <v>4</v>
      </c>
    </row>
    <row r="366" spans="1:5" x14ac:dyDescent="0.3">
      <c r="A366">
        <v>0.96505405266570798</v>
      </c>
      <c r="B366">
        <v>0.60274121274417836</v>
      </c>
      <c r="C366">
        <v>-33.494594733429203</v>
      </c>
      <c r="D366">
        <v>-23.010810533141601</v>
      </c>
      <c r="E366" s="6">
        <v>5</v>
      </c>
    </row>
    <row r="367" spans="1:5" x14ac:dyDescent="0.3">
      <c r="A367">
        <v>-0.97375392825434925</v>
      </c>
      <c r="B367">
        <v>-2.6889929681564562E-2</v>
      </c>
      <c r="C367">
        <v>80.431846510865583</v>
      </c>
      <c r="D367">
        <v>-30.431846510865579</v>
      </c>
      <c r="E367" s="6">
        <v>6</v>
      </c>
    </row>
    <row r="368" spans="1:5" x14ac:dyDescent="0.3">
      <c r="A368">
        <v>-0.47772304698270229</v>
      </c>
      <c r="B368">
        <v>-3.5741656539971467E-2</v>
      </c>
      <c r="C368">
        <v>67.98290147994274</v>
      </c>
      <c r="D368">
        <v>-17.982901479942754</v>
      </c>
      <c r="E368" s="6">
        <v>7</v>
      </c>
    </row>
    <row r="369" spans="1:5" x14ac:dyDescent="0.3">
      <c r="A369">
        <v>-2.3642148736616186E-4</v>
      </c>
      <c r="B369">
        <v>2.8250163709648557E-3</v>
      </c>
      <c r="C369">
        <v>29.465181624506826</v>
      </c>
      <c r="D369">
        <v>30.387830774896567</v>
      </c>
      <c r="E369" s="6">
        <v>8</v>
      </c>
    </row>
    <row r="370" spans="1:5" x14ac:dyDescent="0.3">
      <c r="A370">
        <v>0.47280248376162448</v>
      </c>
      <c r="B370">
        <v>9.1781120818492587E-3</v>
      </c>
      <c r="C370">
        <v>-72.761831183481632</v>
      </c>
      <c r="D370">
        <v>63.571635631102858</v>
      </c>
      <c r="E370" s="6">
        <v>9</v>
      </c>
    </row>
    <row r="371" spans="1:5" x14ac:dyDescent="0.3">
      <c r="A371">
        <v>0.93391151696112984</v>
      </c>
      <c r="B371">
        <v>6.2011554684623313E-3</v>
      </c>
      <c r="C371">
        <v>-36.937514186744551</v>
      </c>
      <c r="D371">
        <v>-15.087812743958436</v>
      </c>
      <c r="E371" s="6">
        <v>10</v>
      </c>
    </row>
    <row r="372" spans="1:5" x14ac:dyDescent="0.3">
      <c r="A372">
        <v>-0.96013758723202414</v>
      </c>
      <c r="B372">
        <v>-0.80031272900205674</v>
      </c>
      <c r="C372">
        <v>89.335626453867064</v>
      </c>
      <c r="D372">
        <v>-39.335626453867064</v>
      </c>
      <c r="E372" s="6">
        <v>11</v>
      </c>
    </row>
    <row r="373" spans="1:5" x14ac:dyDescent="0.3">
      <c r="A373">
        <v>-0.50851565095862461</v>
      </c>
      <c r="B373">
        <v>-0.27892500889649263</v>
      </c>
      <c r="C373">
        <v>81.808594182643745</v>
      </c>
      <c r="D373">
        <v>-31.808594182643741</v>
      </c>
      <c r="E373" s="6">
        <v>12</v>
      </c>
    </row>
    <row r="374" spans="1:5" x14ac:dyDescent="0.3">
      <c r="A374">
        <v>5.7660116103286821E-2</v>
      </c>
      <c r="B374">
        <v>-0.78757332009058145</v>
      </c>
      <c r="C374">
        <v>52.792485487089152</v>
      </c>
      <c r="D374">
        <v>-1.3509825845069772</v>
      </c>
      <c r="E374" s="6">
        <v>13</v>
      </c>
    </row>
    <row r="375" spans="1:5" x14ac:dyDescent="0.3">
      <c r="A375">
        <v>0.51172769364330462</v>
      </c>
      <c r="B375">
        <v>-0.5383446422606496</v>
      </c>
      <c r="C375">
        <v>2.5514870904463596</v>
      </c>
      <c r="D375">
        <v>35.102974180892716</v>
      </c>
      <c r="E375" s="6">
        <v>14</v>
      </c>
    </row>
    <row r="376" spans="1:5" x14ac:dyDescent="0.3">
      <c r="A376">
        <v>0.99370871449196641</v>
      </c>
      <c r="B376">
        <v>-0.77157800865903914</v>
      </c>
      <c r="C376">
        <v>-29.580580966131095</v>
      </c>
      <c r="D376">
        <v>-29.161161932262189</v>
      </c>
      <c r="E376" s="6">
        <v>15</v>
      </c>
    </row>
    <row r="377" spans="1:5" x14ac:dyDescent="0.3">
      <c r="A377">
        <v>-0.90048307639762559</v>
      </c>
      <c r="B377">
        <v>0.21154876502986486</v>
      </c>
      <c r="C377">
        <v>58.341384606627095</v>
      </c>
      <c r="D377">
        <v>-6.6827692132541863</v>
      </c>
      <c r="E377" s="6">
        <v>1</v>
      </c>
    </row>
    <row r="378" spans="1:5" x14ac:dyDescent="0.3">
      <c r="A378">
        <v>-0.43242420933012982</v>
      </c>
      <c r="B378">
        <v>0.24499112558896535</v>
      </c>
      <c r="C378">
        <v>50.540403488835494</v>
      </c>
      <c r="D378">
        <v>8.9191930223290061</v>
      </c>
      <c r="E378" s="6">
        <v>2</v>
      </c>
    </row>
    <row r="379" spans="1:5" x14ac:dyDescent="0.3">
      <c r="A379">
        <v>-6.1605138527028896E-2</v>
      </c>
      <c r="B379">
        <v>0.80044404039014228</v>
      </c>
      <c r="C379">
        <v>-0.75922922094566747</v>
      </c>
      <c r="D379">
        <v>52.299357684121389</v>
      </c>
      <c r="E379" s="6">
        <v>3</v>
      </c>
    </row>
    <row r="380" spans="1:5" x14ac:dyDescent="0.3">
      <c r="A380">
        <v>0.48421515080678629</v>
      </c>
      <c r="B380">
        <v>0.51698044408842636</v>
      </c>
      <c r="C380">
        <v>-81.578484919321383</v>
      </c>
      <c r="D380">
        <v>73.156969838642752</v>
      </c>
      <c r="E380" s="6">
        <v>4</v>
      </c>
    </row>
    <row r="381" spans="1:5" x14ac:dyDescent="0.3">
      <c r="A381">
        <v>0.97755914058642301</v>
      </c>
      <c r="B381">
        <v>0.92405221692195183</v>
      </c>
      <c r="C381">
        <v>-32.244085941357703</v>
      </c>
      <c r="D381">
        <v>-25.511828117284605</v>
      </c>
      <c r="E381" s="6">
        <v>5</v>
      </c>
    </row>
    <row r="382" spans="1:5" x14ac:dyDescent="0.3">
      <c r="A382">
        <v>-0.94508723091623958</v>
      </c>
      <c r="B382">
        <v>6.9634355755221755E-3</v>
      </c>
      <c r="C382">
        <v>76.661209963208066</v>
      </c>
      <c r="D382">
        <v>-26.335704544554719</v>
      </c>
      <c r="E382" s="6">
        <v>6</v>
      </c>
    </row>
    <row r="383" spans="1:5" x14ac:dyDescent="0.3">
      <c r="A383">
        <v>-0.4907387299505071</v>
      </c>
      <c r="B383">
        <v>-2.5922392072436039E-2</v>
      </c>
      <c r="C383">
        <v>67.548476639742333</v>
      </c>
      <c r="D383">
        <v>-17.548476639742329</v>
      </c>
      <c r="E383" s="6">
        <v>7</v>
      </c>
    </row>
    <row r="384" spans="1:5" x14ac:dyDescent="0.3">
      <c r="A384">
        <v>5.8910546041880271E-2</v>
      </c>
      <c r="B384">
        <v>1.3201943480970438E-2</v>
      </c>
      <c r="C384">
        <v>6.3591029240658035</v>
      </c>
      <c r="D384">
        <v>41.753060426836477</v>
      </c>
      <c r="E384" s="6">
        <v>8</v>
      </c>
    </row>
    <row r="385" spans="1:5" x14ac:dyDescent="0.3">
      <c r="A385">
        <v>0.36621465458089036</v>
      </c>
      <c r="B385">
        <v>2.7797062636343316E-2</v>
      </c>
      <c r="C385">
        <v>-68.182704709725527</v>
      </c>
      <c r="D385">
        <v>76.130995885632331</v>
      </c>
      <c r="E385" s="6">
        <v>9</v>
      </c>
    </row>
    <row r="386" spans="1:5" x14ac:dyDescent="0.3">
      <c r="A386">
        <v>0.9572556599614892</v>
      </c>
      <c r="B386">
        <v>-1.6939457618438125E-4</v>
      </c>
      <c r="C386">
        <v>-33.522183034282328</v>
      </c>
      <c r="D386">
        <v>-22.109146506964461</v>
      </c>
      <c r="E386" s="6">
        <v>10</v>
      </c>
    </row>
    <row r="387" spans="1:5" x14ac:dyDescent="0.3">
      <c r="A387">
        <v>-0.97199450542527954</v>
      </c>
      <c r="B387">
        <v>-0.50195924483344279</v>
      </c>
      <c r="C387">
        <v>89.533241757087993</v>
      </c>
      <c r="D387">
        <v>-39.533241757087993</v>
      </c>
      <c r="E387" s="6">
        <v>11</v>
      </c>
    </row>
    <row r="388" spans="1:5" x14ac:dyDescent="0.3">
      <c r="A388">
        <v>-0.47006606617455254</v>
      </c>
      <c r="B388">
        <v>-0.98921172832049642</v>
      </c>
      <c r="C388">
        <v>81.167767769575875</v>
      </c>
      <c r="D388">
        <v>-31.167767769575875</v>
      </c>
      <c r="E388" s="6">
        <v>12</v>
      </c>
    </row>
    <row r="389" spans="1:5" x14ac:dyDescent="0.3">
      <c r="A389">
        <v>4.0249107654720589E-2</v>
      </c>
      <c r="B389">
        <v>-0.71573582161948779</v>
      </c>
      <c r="C389">
        <v>54.968861543159925</v>
      </c>
      <c r="D389">
        <v>-3.9626338517919111</v>
      </c>
      <c r="E389" s="6">
        <v>13</v>
      </c>
    </row>
    <row r="390" spans="1:5" x14ac:dyDescent="0.3">
      <c r="A390">
        <v>0.36126551610463731</v>
      </c>
      <c r="B390">
        <v>-0.2256419450397873</v>
      </c>
      <c r="C390">
        <v>14.841810486920339</v>
      </c>
      <c r="D390">
        <v>44.189827415695596</v>
      </c>
      <c r="E390" s="6">
        <v>14</v>
      </c>
    </row>
    <row r="391" spans="1:5" x14ac:dyDescent="0.3">
      <c r="A391">
        <v>0.96172215933352589</v>
      </c>
      <c r="B391">
        <v>-0.83991471496097081</v>
      </c>
      <c r="C391">
        <v>-27.448143955568394</v>
      </c>
      <c r="D391">
        <v>-24.896287911136785</v>
      </c>
      <c r="E391" s="6">
        <v>15</v>
      </c>
    </row>
    <row r="392" spans="1:5" x14ac:dyDescent="0.3">
      <c r="A392">
        <v>-0.99524001064198298</v>
      </c>
      <c r="B392">
        <v>0.39366236881053451</v>
      </c>
      <c r="C392">
        <v>59.92066684403305</v>
      </c>
      <c r="D392">
        <v>-9.8413336880660989</v>
      </c>
      <c r="E392" s="6">
        <v>1</v>
      </c>
    </row>
    <row r="393" spans="1:5" x14ac:dyDescent="0.3">
      <c r="A393">
        <v>-0.35098658098557067</v>
      </c>
      <c r="B393">
        <v>0.49203520662223099</v>
      </c>
      <c r="C393">
        <v>42.647987147835593</v>
      </c>
      <c r="D393">
        <v>16.12667737680367</v>
      </c>
      <c r="E393" s="6">
        <v>2</v>
      </c>
    </row>
    <row r="394" spans="1:5" x14ac:dyDescent="0.3">
      <c r="A394">
        <v>-4.0412045346428282E-2</v>
      </c>
      <c r="B394">
        <v>0.85637768695609007</v>
      </c>
      <c r="C394">
        <v>-3.9381931980357567</v>
      </c>
      <c r="D394">
        <v>54.948494331696459</v>
      </c>
      <c r="E394" s="6">
        <v>3</v>
      </c>
    </row>
    <row r="395" spans="1:5" x14ac:dyDescent="0.3">
      <c r="A395">
        <v>0.51299734751124193</v>
      </c>
      <c r="B395">
        <v>0.51108125193673248</v>
      </c>
      <c r="C395">
        <v>-78.700265248875809</v>
      </c>
      <c r="D395">
        <v>67.400530497751618</v>
      </c>
      <c r="E395" s="6">
        <v>4</v>
      </c>
    </row>
    <row r="396" spans="1:5" x14ac:dyDescent="0.3">
      <c r="A396">
        <v>0.93636202168399207</v>
      </c>
      <c r="B396">
        <v>0.55558719085924202</v>
      </c>
      <c r="C396">
        <v>-36.363797831600792</v>
      </c>
      <c r="D396">
        <v>-17.272404336798417</v>
      </c>
      <c r="E396" s="6">
        <v>5</v>
      </c>
    </row>
    <row r="397" spans="1:5" x14ac:dyDescent="0.3">
      <c r="A397">
        <v>-0.93384158691763597</v>
      </c>
      <c r="B397">
        <v>2.9311337950156911E-2</v>
      </c>
      <c r="C397">
        <v>73.081408551456747</v>
      </c>
      <c r="D397">
        <v>-22.17799611139516</v>
      </c>
      <c r="E397" s="6">
        <v>6</v>
      </c>
    </row>
    <row r="398" spans="1:5" x14ac:dyDescent="0.3">
      <c r="A398">
        <v>-0.4613624645096443</v>
      </c>
      <c r="B398">
        <v>3.1874349078230037E-2</v>
      </c>
      <c r="C398">
        <v>60.374995806791588</v>
      </c>
      <c r="D398">
        <v>-9.0519053280329995</v>
      </c>
      <c r="E398" s="6">
        <v>7</v>
      </c>
    </row>
    <row r="399" spans="1:5" x14ac:dyDescent="0.3">
      <c r="A399">
        <v>-5.3461120009222186E-2</v>
      </c>
      <c r="B399">
        <v>2.5692499237987936E-2</v>
      </c>
      <c r="C399">
        <v>31.145918877916269</v>
      </c>
      <c r="D399">
        <v>26.768711686341167</v>
      </c>
      <c r="E399" s="6">
        <v>8</v>
      </c>
    </row>
    <row r="400" spans="1:5" x14ac:dyDescent="0.3">
      <c r="A400">
        <v>0.39764127997305221</v>
      </c>
      <c r="B400">
        <v>-1.6770589505298028E-4</v>
      </c>
      <c r="C400">
        <v>-79.159899111992019</v>
      </c>
      <c r="D400">
        <v>79.605198564880212</v>
      </c>
      <c r="E400" s="6">
        <v>9</v>
      </c>
    </row>
    <row r="401" spans="1:5" x14ac:dyDescent="0.3">
      <c r="A401">
        <v>0.92377281471530148</v>
      </c>
      <c r="B401">
        <v>-1.9574810744821189E-2</v>
      </c>
      <c r="C401">
        <v>-32.038308299419889</v>
      </c>
      <c r="D401">
        <v>-11.764630752104917</v>
      </c>
      <c r="E401" s="6">
        <v>10</v>
      </c>
    </row>
    <row r="402" spans="1:5" x14ac:dyDescent="0.3">
      <c r="A402">
        <v>-0.9438006707465515</v>
      </c>
      <c r="B402">
        <v>-0.65176876020202856</v>
      </c>
      <c r="C402">
        <v>89.063344512442526</v>
      </c>
      <c r="D402">
        <v>-39.063344512442526</v>
      </c>
      <c r="E402" s="6">
        <v>11</v>
      </c>
    </row>
    <row r="403" spans="1:5" x14ac:dyDescent="0.3">
      <c r="A403">
        <v>-0.36962209168316051</v>
      </c>
      <c r="B403">
        <v>-0.78497074145656998</v>
      </c>
      <c r="C403">
        <v>78.481104584158032</v>
      </c>
      <c r="D403">
        <v>-28.481104584158025</v>
      </c>
      <c r="E403" s="6">
        <v>12</v>
      </c>
    </row>
    <row r="404" spans="1:5" x14ac:dyDescent="0.3">
      <c r="A404">
        <v>-1.4564970024980251E-2</v>
      </c>
      <c r="B404">
        <v>-0.16871961744061104</v>
      </c>
      <c r="C404">
        <v>56.305260003813423</v>
      </c>
      <c r="D404">
        <v>-4.8474086800047393</v>
      </c>
      <c r="E404" s="6">
        <v>13</v>
      </c>
    </row>
    <row r="405" spans="1:5" x14ac:dyDescent="0.3">
      <c r="A405">
        <v>0.44148622913307078</v>
      </c>
      <c r="B405">
        <v>-0.82949879470021315</v>
      </c>
      <c r="C405">
        <v>7.2342513911286161</v>
      </c>
      <c r="D405">
        <v>44.468502782257225</v>
      </c>
      <c r="E405" s="6">
        <v>14</v>
      </c>
    </row>
    <row r="406" spans="1:5" x14ac:dyDescent="0.3">
      <c r="A406">
        <v>0.90492483797759404</v>
      </c>
      <c r="B406">
        <v>-0.97806230201548539</v>
      </c>
      <c r="C406">
        <v>-23.661655865172936</v>
      </c>
      <c r="D406">
        <v>-17.323311730345871</v>
      </c>
      <c r="E406" s="6">
        <v>15</v>
      </c>
    </row>
    <row r="407" spans="1:5" x14ac:dyDescent="0.3">
      <c r="A407" s="1">
        <v>-0.90016733894859791</v>
      </c>
      <c r="B407" s="1">
        <v>0.37600214653813469</v>
      </c>
      <c r="C407" s="1">
        <v>58.336122315809966</v>
      </c>
      <c r="D407" s="1">
        <v>-6.6722446316199298</v>
      </c>
      <c r="E407" s="6">
        <v>1</v>
      </c>
    </row>
    <row r="408" spans="1:5" x14ac:dyDescent="0.3">
      <c r="A408" s="1">
        <v>-0.43998803753799881</v>
      </c>
      <c r="B408" s="1">
        <v>0.46500632599380842</v>
      </c>
      <c r="C408" s="1">
        <v>50.666467292299977</v>
      </c>
      <c r="D408" s="1">
        <v>8.6670654154000406</v>
      </c>
      <c r="E408" s="6">
        <v>2</v>
      </c>
    </row>
    <row r="409" spans="1:5" x14ac:dyDescent="0.3">
      <c r="A409" s="1">
        <v>-1.7273035647811602E-2</v>
      </c>
      <c r="B409" s="1">
        <v>0.53732414533396711</v>
      </c>
      <c r="C409" s="1">
        <v>-7.4090446528282596</v>
      </c>
      <c r="D409" s="1">
        <v>57.840870544023538</v>
      </c>
      <c r="E409" s="6">
        <v>3</v>
      </c>
    </row>
    <row r="410" spans="1:5" x14ac:dyDescent="0.3">
      <c r="A410" s="1">
        <v>0.364721004365756</v>
      </c>
      <c r="B410" s="1">
        <v>0.94192256194846591</v>
      </c>
      <c r="C410" s="1">
        <v>-82.944200873151189</v>
      </c>
      <c r="D410" s="1">
        <v>87.354075327431687</v>
      </c>
      <c r="E410" s="6">
        <v>4</v>
      </c>
    </row>
    <row r="411" spans="1:5" x14ac:dyDescent="0.3">
      <c r="A411" s="1">
        <v>0.90432556362505245</v>
      </c>
      <c r="B411" s="1">
        <v>0.6709672672438074</v>
      </c>
      <c r="C411" s="1">
        <v>-39.567443637494755</v>
      </c>
      <c r="D411" s="1">
        <v>-10.865112725010489</v>
      </c>
      <c r="E411" s="6">
        <v>5</v>
      </c>
    </row>
    <row r="412" spans="1:5" x14ac:dyDescent="0.3">
      <c r="A412" s="1">
        <v>-0.96360937515941392</v>
      </c>
      <c r="B412" s="1">
        <v>-2.6728483036370411E-2</v>
      </c>
      <c r="C412" s="1">
        <v>80.110053593667303</v>
      </c>
      <c r="D412" s="1">
        <v>-30.110053593667299</v>
      </c>
      <c r="E412" s="6">
        <v>6</v>
      </c>
    </row>
    <row r="413" spans="1:5" x14ac:dyDescent="0.3">
      <c r="A413" s="1">
        <v>-0.4057500431756898</v>
      </c>
      <c r="B413" s="1">
        <v>1.893194156756664E-2</v>
      </c>
      <c r="C413" s="1">
        <v>59.259268488062112</v>
      </c>
      <c r="D413" s="1">
        <v>-8.330473448284085</v>
      </c>
      <c r="E413" s="6">
        <v>7</v>
      </c>
    </row>
    <row r="414" spans="1:5" x14ac:dyDescent="0.3">
      <c r="A414" s="1">
        <v>2.9037031274193034E-2</v>
      </c>
      <c r="B414" s="1">
        <v>2.908743838155995E-2</v>
      </c>
      <c r="C414" s="1">
        <v>10.340488580625655</v>
      </c>
      <c r="D414" s="1">
        <v>40.782797252427038</v>
      </c>
      <c r="E414" s="6">
        <v>8</v>
      </c>
    </row>
    <row r="415" spans="1:5" x14ac:dyDescent="0.3">
      <c r="A415" s="1">
        <v>0.3905488378426592</v>
      </c>
      <c r="B415" s="1">
        <v>6.0625489514701258E-5</v>
      </c>
      <c r="C415" s="1">
        <v>-77.384328523513574</v>
      </c>
      <c r="D415" s="1">
        <v>78.816291085180694</v>
      </c>
      <c r="E415" s="6">
        <v>9</v>
      </c>
    </row>
    <row r="416" spans="1:5" x14ac:dyDescent="0.3">
      <c r="A416" s="1">
        <v>0.97439108676020592</v>
      </c>
      <c r="B416" s="1">
        <v>2.7414180998459915E-2</v>
      </c>
      <c r="C416" s="1">
        <v>-34.325711523601306</v>
      </c>
      <c r="D416" s="1">
        <v>-20.955330450651815</v>
      </c>
      <c r="E416" s="6">
        <v>10</v>
      </c>
    </row>
    <row r="417" spans="1:5" x14ac:dyDescent="0.3">
      <c r="A417" s="1">
        <v>-0.91955070218204105</v>
      </c>
      <c r="B417" s="1">
        <v>-0.65368337213651084</v>
      </c>
      <c r="C417" s="1">
        <v>88.659178369700697</v>
      </c>
      <c r="D417" s="1">
        <v>-38.659178369700683</v>
      </c>
      <c r="E417" s="6">
        <v>11</v>
      </c>
    </row>
    <row r="418" spans="1:5" x14ac:dyDescent="0.3">
      <c r="A418" s="1">
        <v>-0.34322024046062449</v>
      </c>
      <c r="B418" s="1">
        <v>-0.93044696359672552</v>
      </c>
      <c r="C418" s="1">
        <v>77.161012023031219</v>
      </c>
      <c r="D418" s="1">
        <v>-27.161012023031223</v>
      </c>
      <c r="E418" s="6">
        <v>12</v>
      </c>
    </row>
    <row r="419" spans="1:5" x14ac:dyDescent="0.3">
      <c r="A419" s="1">
        <v>5.2180625659635757E-2</v>
      </c>
      <c r="B419" s="1">
        <v>-0.36815918029267025</v>
      </c>
      <c r="C419" s="1">
        <v>53.477421792545528</v>
      </c>
      <c r="D419" s="1">
        <v>-2.1729061510546366</v>
      </c>
      <c r="E419" s="6">
        <v>13</v>
      </c>
    </row>
    <row r="420" spans="1:5" x14ac:dyDescent="0.3">
      <c r="A420" s="1">
        <v>0.47985750794298576</v>
      </c>
      <c r="B420" s="1">
        <v>-0.30957198276128217</v>
      </c>
      <c r="C420" s="1">
        <v>4.6761661371342846</v>
      </c>
      <c r="D420" s="1">
        <v>39.352332274268576</v>
      </c>
      <c r="E420" s="6">
        <v>14</v>
      </c>
    </row>
    <row r="421" spans="1:5" x14ac:dyDescent="0.3">
      <c r="A421" s="1">
        <v>0.95424887169250672</v>
      </c>
      <c r="B421" s="1">
        <v>-0.72796167099531095</v>
      </c>
      <c r="C421" s="1">
        <v>-26.949924779500449</v>
      </c>
      <c r="D421" s="1">
        <v>-23.899849559000895</v>
      </c>
      <c r="E421" s="6">
        <v>15</v>
      </c>
    </row>
    <row r="422" spans="1:5" x14ac:dyDescent="0.3">
      <c r="A422" s="1">
        <v>-0.99898704444628084</v>
      </c>
      <c r="B422" s="1">
        <v>0.78977290594427463</v>
      </c>
      <c r="C422" s="1">
        <v>59.983117407438009</v>
      </c>
      <c r="D422" s="1">
        <v>-9.966234814876028</v>
      </c>
      <c r="E422" s="6">
        <v>1</v>
      </c>
    </row>
    <row r="423" spans="1:5" x14ac:dyDescent="0.3">
      <c r="A423" s="1">
        <v>-0.40871374499812763</v>
      </c>
      <c r="B423" s="1">
        <v>0.32320004598350338</v>
      </c>
      <c r="C423" s="1">
        <v>50.145229083302127</v>
      </c>
      <c r="D423" s="1">
        <v>9.7095418333957468</v>
      </c>
      <c r="E423" s="6">
        <v>2</v>
      </c>
    </row>
    <row r="424" spans="1:5" x14ac:dyDescent="0.3">
      <c r="A424" s="1">
        <v>1.1259265085957079E-2</v>
      </c>
      <c r="B424" s="1">
        <v>0.26974381561604976</v>
      </c>
      <c r="C424" s="6">
        <v>-12.251853017191415</v>
      </c>
      <c r="D424" s="1">
        <v>60.844444881446776</v>
      </c>
      <c r="E424" s="6">
        <v>3</v>
      </c>
    </row>
    <row r="425" spans="1:5" x14ac:dyDescent="0.3">
      <c r="A425" s="1">
        <v>0.45315568028194669</v>
      </c>
      <c r="B425" s="1">
        <v>0.46625202080250838</v>
      </c>
      <c r="C425" s="6">
        <v>-84.684431971805338</v>
      </c>
      <c r="D425" s="1">
        <v>79.368863943610677</v>
      </c>
      <c r="E425" s="6">
        <v>4</v>
      </c>
    </row>
    <row r="426" spans="1:5" x14ac:dyDescent="0.3">
      <c r="A426" s="1">
        <v>0.97610954967909414</v>
      </c>
      <c r="B426" s="1">
        <v>0.88657106561189525</v>
      </c>
      <c r="C426" s="6">
        <v>-32.389045032090586</v>
      </c>
      <c r="D426" s="1">
        <v>-25.221909935818829</v>
      </c>
      <c r="E426" s="6">
        <v>5</v>
      </c>
    </row>
    <row r="427" spans="1:5" x14ac:dyDescent="0.3">
      <c r="A427" s="1">
        <v>-0.93643964115862932</v>
      </c>
      <c r="B427" s="1">
        <v>-3.8689402928079375E-2</v>
      </c>
      <c r="C427" s="6">
        <v>79.847996231853699</v>
      </c>
      <c r="D427" s="1">
        <v>-29.847996231853685</v>
      </c>
      <c r="E427" s="6">
        <v>6</v>
      </c>
    </row>
    <row r="428" spans="1:5" x14ac:dyDescent="0.3">
      <c r="A428" s="1">
        <v>-0.44811490994944625</v>
      </c>
      <c r="B428" s="1">
        <v>-2.0314272511745488E-2</v>
      </c>
      <c r="C428" s="6">
        <v>65.20604223574253</v>
      </c>
      <c r="D428" s="1">
        <v>-15.206042235742522</v>
      </c>
      <c r="E428" s="6">
        <v>7</v>
      </c>
    </row>
    <row r="429" spans="1:5" x14ac:dyDescent="0.3">
      <c r="A429" s="1">
        <v>-1.3210119098192655E-2</v>
      </c>
      <c r="B429" s="1">
        <v>-3.7544058871141157E-2</v>
      </c>
      <c r="C429" s="6">
        <v>37.761013112608723</v>
      </c>
      <c r="D429" s="1">
        <v>19.858509910782146</v>
      </c>
      <c r="E429" s="6">
        <v>8</v>
      </c>
    </row>
    <row r="430" spans="1:5" x14ac:dyDescent="0.3">
      <c r="A430" s="1">
        <v>0.34955692330906268</v>
      </c>
      <c r="B430" s="1">
        <v>3.0771944921874357E-2</v>
      </c>
      <c r="C430" s="6">
        <v>-63.101319833295427</v>
      </c>
      <c r="D430" s="1">
        <v>74.179163368276832</v>
      </c>
      <c r="E430" s="6">
        <v>9</v>
      </c>
    </row>
    <row r="431" spans="1:5" x14ac:dyDescent="0.3">
      <c r="A431" s="1">
        <v>0.91987158037642736</v>
      </c>
      <c r="B431" s="1">
        <v>-1.6747951254773456E-2</v>
      </c>
      <c r="C431" s="6">
        <v>-32.85039524483615</v>
      </c>
      <c r="D431" s="1">
        <v>-11.679001184736858</v>
      </c>
      <c r="E431" s="6">
        <v>10</v>
      </c>
    </row>
    <row r="432" spans="1:5" x14ac:dyDescent="0.3">
      <c r="A432" s="1">
        <v>-0.96295203059376411</v>
      </c>
      <c r="B432" s="1">
        <v>-0.18139015626623323</v>
      </c>
      <c r="C432" s="6">
        <v>86.973406942850588</v>
      </c>
      <c r="D432" s="1">
        <v>-36.973406942850595</v>
      </c>
      <c r="E432" s="6">
        <v>11</v>
      </c>
    </row>
    <row r="433" spans="1:5" x14ac:dyDescent="0.3">
      <c r="A433" s="1">
        <v>-0.43025007631363527</v>
      </c>
      <c r="B433" s="1">
        <v>-0.37460360358150036</v>
      </c>
      <c r="C433" s="6">
        <v>80.504167938560599</v>
      </c>
      <c r="D433" s="1">
        <v>-30.504167938560588</v>
      </c>
      <c r="E433" s="6">
        <v>12</v>
      </c>
    </row>
    <row r="434" spans="1:5" x14ac:dyDescent="0.3">
      <c r="A434" s="1">
        <v>7.7538043499815759E-2</v>
      </c>
      <c r="B434" s="1">
        <v>-0.29793721806213658</v>
      </c>
      <c r="C434" s="6">
        <v>50.307744562523034</v>
      </c>
      <c r="D434" s="1">
        <v>1.6307065249723625</v>
      </c>
      <c r="E434" s="6">
        <v>13</v>
      </c>
    </row>
    <row r="435" spans="1:5" x14ac:dyDescent="0.3">
      <c r="A435" s="1">
        <v>0.4813056501728582</v>
      </c>
      <c r="B435" s="1">
        <v>-0.79392819376035817</v>
      </c>
      <c r="C435" s="6">
        <v>4.5796233218094544</v>
      </c>
      <c r="D435" s="1">
        <v>39.159246643618914</v>
      </c>
      <c r="E435" s="6">
        <v>14</v>
      </c>
    </row>
    <row r="436" spans="1:5" x14ac:dyDescent="0.3">
      <c r="A436" s="1">
        <v>0.98358005046148111</v>
      </c>
      <c r="B436" s="1">
        <v>-0.34512592125555341</v>
      </c>
      <c r="C436" s="6">
        <v>-28.905336697432077</v>
      </c>
      <c r="D436" s="1">
        <v>-27.81067339486415</v>
      </c>
      <c r="E436" s="6">
        <v>15</v>
      </c>
    </row>
    <row r="437" spans="1:5" x14ac:dyDescent="0.3">
      <c r="A437" s="1">
        <v>-0.89088940087144486</v>
      </c>
      <c r="B437" s="1">
        <v>0.48240912399186886</v>
      </c>
      <c r="C437" s="6">
        <v>58.18149001452408</v>
      </c>
      <c r="D437" s="1">
        <v>-6.3629800290481624</v>
      </c>
      <c r="E437" s="6">
        <v>1</v>
      </c>
    </row>
    <row r="438" spans="1:5" x14ac:dyDescent="0.3">
      <c r="A438" s="1">
        <v>-0.34620617906651191</v>
      </c>
      <c r="B438" s="1">
        <v>0.3794217377416319</v>
      </c>
      <c r="C438" s="6">
        <v>41.930926859976779</v>
      </c>
      <c r="D438" s="1">
        <v>16.724227616686015</v>
      </c>
      <c r="E438" s="6">
        <v>2</v>
      </c>
    </row>
    <row r="439" spans="1:5" x14ac:dyDescent="0.3">
      <c r="A439" s="1">
        <v>7.2155586839892746E-2</v>
      </c>
      <c r="B439" s="1">
        <v>0.51952410374247016</v>
      </c>
      <c r="C439" s="1">
        <v>-24.431117367978548</v>
      </c>
      <c r="D439" s="1">
        <v>65.41166901299195</v>
      </c>
      <c r="E439" s="6">
        <v>3</v>
      </c>
    </row>
    <row r="440" spans="1:5" x14ac:dyDescent="0.3">
      <c r="A440" s="1">
        <v>0.43344535798848005</v>
      </c>
      <c r="B440" s="1">
        <v>0.18229359997918998</v>
      </c>
      <c r="C440" s="1">
        <v>-83.185337791688625</v>
      </c>
      <c r="D440" s="1">
        <v>77.167195894574164</v>
      </c>
      <c r="E440" s="6">
        <v>4</v>
      </c>
    </row>
    <row r="441" spans="1:5" x14ac:dyDescent="0.3">
      <c r="A441" s="1">
        <v>0.9370204199262866</v>
      </c>
      <c r="B441" s="1">
        <v>0.73258887332926792</v>
      </c>
      <c r="C441" s="1">
        <v>-36.297958007371342</v>
      </c>
      <c r="D441" s="1">
        <v>-17.404083985257323</v>
      </c>
      <c r="E441" s="6">
        <v>5</v>
      </c>
    </row>
    <row r="442" spans="1:5" x14ac:dyDescent="0.3">
      <c r="A442" s="1">
        <v>-0.89216869687173594</v>
      </c>
      <c r="B442" s="1">
        <v>-3.3114722944822095E-2</v>
      </c>
      <c r="C442" s="1">
        <v>78.543631702929943</v>
      </c>
      <c r="D442" s="1">
        <v>-28.543631702929943</v>
      </c>
      <c r="E442" s="6">
        <v>6</v>
      </c>
    </row>
    <row r="443" spans="1:5" x14ac:dyDescent="0.3">
      <c r="A443" s="1">
        <v>-0.44933297997369848</v>
      </c>
      <c r="B443" s="1">
        <v>3.8911171396622764E-2</v>
      </c>
      <c r="C443" s="1">
        <v>59.74139924830699</v>
      </c>
      <c r="D443" s="1">
        <v>-8.0705934429310258</v>
      </c>
      <c r="E443" s="6">
        <v>7</v>
      </c>
    </row>
    <row r="444" spans="1:5" x14ac:dyDescent="0.3">
      <c r="A444" s="1">
        <v>9.0563217674127783E-3</v>
      </c>
      <c r="B444" s="1">
        <v>7.5841204517100441E-3</v>
      </c>
      <c r="C444" s="1">
        <v>23.567083693278189</v>
      </c>
      <c r="D444" s="1">
        <v>33.470936944764098</v>
      </c>
      <c r="E444" s="6">
        <v>8</v>
      </c>
    </row>
    <row r="445" spans="1:5" x14ac:dyDescent="0.3">
      <c r="A445" s="1">
        <v>0.39646310651528027</v>
      </c>
      <c r="B445" s="1">
        <v>3.3188479662622943E-2</v>
      </c>
      <c r="C445" s="1">
        <v>-80.066643362631794</v>
      </c>
      <c r="D445" s="1">
        <v>81.022387249300607</v>
      </c>
      <c r="E445" s="6">
        <v>9</v>
      </c>
    </row>
    <row r="446" spans="1:5" x14ac:dyDescent="0.3">
      <c r="A446" s="1">
        <v>0.94271193687347266</v>
      </c>
      <c r="B446" s="1">
        <v>3.2419368479550299E-2</v>
      </c>
      <c r="C446" s="1">
        <v>-38.818776212076216</v>
      </c>
      <c r="D446" s="1">
        <v>-11.560740647477008</v>
      </c>
      <c r="E446" s="6">
        <v>10</v>
      </c>
    </row>
    <row r="447" spans="1:5" x14ac:dyDescent="0.3">
      <c r="A447" s="1">
        <v>-0.95959136945582779</v>
      </c>
      <c r="B447" s="1">
        <v>-0.39316012242785014</v>
      </c>
      <c r="C447" s="1">
        <v>89.326522824263805</v>
      </c>
      <c r="D447" s="1">
        <v>-39.326522824263797</v>
      </c>
      <c r="E447" s="6">
        <v>11</v>
      </c>
    </row>
    <row r="448" spans="1:5" x14ac:dyDescent="0.3">
      <c r="A448" s="1">
        <v>-0.43268642232783588</v>
      </c>
      <c r="B448" s="1">
        <v>-0.5952515433459753</v>
      </c>
      <c r="C448" s="1">
        <v>80.544773705463939</v>
      </c>
      <c r="D448" s="1">
        <v>-30.544773705463932</v>
      </c>
      <c r="E448" s="6">
        <v>12</v>
      </c>
    </row>
    <row r="449" spans="1:5" x14ac:dyDescent="0.3">
      <c r="A449" s="1">
        <v>5.8008013649177861E-2</v>
      </c>
      <c r="B449" s="1">
        <v>-0.30768006434381645</v>
      </c>
      <c r="C449" s="1">
        <v>52.748998293852772</v>
      </c>
      <c r="D449" s="1">
        <v>-1.2987979526233202</v>
      </c>
      <c r="E449" s="6">
        <v>13</v>
      </c>
    </row>
    <row r="450" spans="1:5" x14ac:dyDescent="0.3">
      <c r="A450" s="1">
        <v>0.35399838449364196</v>
      </c>
      <c r="B450" s="1">
        <v>-0.25722117598308269</v>
      </c>
      <c r="C450" s="1">
        <v>15.750201938294758</v>
      </c>
      <c r="D450" s="1">
        <v>43.099757674046288</v>
      </c>
      <c r="E450" s="6">
        <v>14</v>
      </c>
    </row>
    <row r="451" spans="1:5" x14ac:dyDescent="0.3">
      <c r="A451" s="1">
        <v>0.99719915321257768</v>
      </c>
      <c r="B451" s="1">
        <v>-0.78349248917631953</v>
      </c>
      <c r="C451" s="1">
        <v>-29.813276880838512</v>
      </c>
      <c r="D451" s="1">
        <v>-29.626553761677023</v>
      </c>
      <c r="E451" s="6">
        <v>15</v>
      </c>
    </row>
    <row r="452" spans="1:5" x14ac:dyDescent="0.3">
      <c r="A452" s="1">
        <v>-0.89716984005180878</v>
      </c>
      <c r="B452" s="1">
        <v>0.60938331485796482</v>
      </c>
      <c r="C452" s="1">
        <v>58.286164000863479</v>
      </c>
      <c r="D452" s="1">
        <v>-6.5723280017269587</v>
      </c>
      <c r="E452" s="6">
        <v>1</v>
      </c>
    </row>
    <row r="453" spans="1:5" x14ac:dyDescent="0.3">
      <c r="A453" s="1">
        <v>-0.49518180622280045</v>
      </c>
      <c r="B453" s="1">
        <v>0.6958353617089631</v>
      </c>
      <c r="C453" s="1">
        <v>51.586363437046678</v>
      </c>
      <c r="D453" s="1">
        <v>6.827273125906653</v>
      </c>
      <c r="E453" s="6">
        <v>2</v>
      </c>
    </row>
    <row r="454" spans="1:5" x14ac:dyDescent="0.3">
      <c r="A454" s="1">
        <v>6.4538776520807042E-2</v>
      </c>
      <c r="B454" s="1">
        <v>0.21925451123053535</v>
      </c>
      <c r="C454" s="1">
        <v>-22.907755304161409</v>
      </c>
      <c r="D454" s="1">
        <v>64.840408239060537</v>
      </c>
      <c r="E454" s="6">
        <v>3</v>
      </c>
    </row>
    <row r="455" spans="1:5" x14ac:dyDescent="0.3">
      <c r="A455" s="1">
        <v>0.51107955853749243</v>
      </c>
      <c r="B455" s="1">
        <v>0.684759055804398</v>
      </c>
      <c r="C455" s="1">
        <v>-78.892044146250768</v>
      </c>
      <c r="D455" s="1">
        <v>67.784088292501522</v>
      </c>
      <c r="E455" s="6">
        <v>4</v>
      </c>
    </row>
    <row r="456" spans="1:5" x14ac:dyDescent="0.3">
      <c r="A456" s="1">
        <v>0.97029238292581543</v>
      </c>
      <c r="B456" s="1">
        <v>0.4243232040016568</v>
      </c>
      <c r="C456" s="1">
        <v>-32.970761707418454</v>
      </c>
      <c r="D456" s="1">
        <v>-24.058476585163085</v>
      </c>
      <c r="E456" s="6">
        <v>5</v>
      </c>
    </row>
    <row r="457" spans="1:5" x14ac:dyDescent="0.3">
      <c r="A457" s="1">
        <v>-0.93511718823867851</v>
      </c>
      <c r="B457" s="1">
        <v>2.8493170848338766E-2</v>
      </c>
      <c r="C457" s="1">
        <v>73.211887927723552</v>
      </c>
      <c r="D457" s="1">
        <v>-22.322796832309574</v>
      </c>
      <c r="E457" s="6">
        <v>6</v>
      </c>
    </row>
    <row r="458" spans="1:5" x14ac:dyDescent="0.3">
      <c r="A458" s="1">
        <v>-0.38176319390750912</v>
      </c>
      <c r="B458" s="1">
        <v>-1.2466679922854364E-2</v>
      </c>
      <c r="C458" s="1">
        <v>59.889026542479677</v>
      </c>
      <c r="D458" s="1">
        <v>-9.4712050388795461</v>
      </c>
      <c r="E458" s="6">
        <v>7</v>
      </c>
    </row>
    <row r="459" spans="1:5" x14ac:dyDescent="0.3">
      <c r="A459" s="1">
        <v>-1.6121123963937695E-2</v>
      </c>
      <c r="B459" s="1">
        <v>1.6536642800403574E-2</v>
      </c>
      <c r="C459" s="1">
        <v>28.804200125477674</v>
      </c>
      <c r="D459" s="1">
        <v>30.057678605706563</v>
      </c>
      <c r="E459" s="6">
        <v>8</v>
      </c>
    </row>
    <row r="460" spans="1:5" x14ac:dyDescent="0.3">
      <c r="A460" s="1">
        <v>0.48601374017907356</v>
      </c>
      <c r="B460" s="1">
        <v>3.4219512765904979E-2</v>
      </c>
      <c r="C460" s="1">
        <v>-70.188446878320661</v>
      </c>
      <c r="D460" s="1">
        <v>56.818911357770844</v>
      </c>
      <c r="E460" s="6">
        <v>9</v>
      </c>
    </row>
    <row r="461" spans="1:5" x14ac:dyDescent="0.3">
      <c r="A461" s="1">
        <v>0.9721428972250592</v>
      </c>
      <c r="B461" s="1">
        <v>7.62894816385188E-3</v>
      </c>
      <c r="C461" s="1">
        <v>-34.283336183293642</v>
      </c>
      <c r="D461" s="1">
        <v>-21.001952009874884</v>
      </c>
      <c r="E461" s="6">
        <v>10</v>
      </c>
    </row>
    <row r="462" spans="1:5" x14ac:dyDescent="0.3">
      <c r="A462" s="1">
        <v>-0.97749466474658142</v>
      </c>
      <c r="B462" s="1">
        <v>-0.34133067837384479</v>
      </c>
      <c r="C462" s="1">
        <v>89.624911079109694</v>
      </c>
      <c r="D462" s="1">
        <v>-39.624911079109694</v>
      </c>
      <c r="E462" s="6">
        <v>11</v>
      </c>
    </row>
    <row r="463" spans="1:5" x14ac:dyDescent="0.3">
      <c r="A463" s="1">
        <v>-0.36701152779804413</v>
      </c>
      <c r="B463" s="1">
        <v>-0.44690489308318604</v>
      </c>
      <c r="C463" s="1">
        <v>78.350576389902216</v>
      </c>
      <c r="D463" s="1">
        <v>-28.350576389902205</v>
      </c>
      <c r="E463" s="6">
        <v>12</v>
      </c>
    </row>
    <row r="464" spans="1:5" x14ac:dyDescent="0.3">
      <c r="A464" s="1">
        <v>-3.9748119446678047E-2</v>
      </c>
      <c r="B464" s="1">
        <v>-0.85884372127945119</v>
      </c>
      <c r="C464" s="1">
        <v>61.987405972333903</v>
      </c>
      <c r="D464" s="1">
        <v>-11.987405972333901</v>
      </c>
      <c r="E464" s="6">
        <v>13</v>
      </c>
    </row>
    <row r="465" spans="1:5" x14ac:dyDescent="0.3">
      <c r="A465" s="1">
        <v>0.35886686759497083</v>
      </c>
      <c r="B465" s="1">
        <v>-0.32676189445263004</v>
      </c>
      <c r="C465" s="1">
        <v>15.141641550628648</v>
      </c>
      <c r="D465" s="1">
        <v>43.830030139245622</v>
      </c>
      <c r="E465" s="6">
        <v>14</v>
      </c>
    </row>
    <row r="466" spans="1:5" x14ac:dyDescent="0.3">
      <c r="A466" s="1">
        <v>0.98667039370197418</v>
      </c>
      <c r="B466" s="1">
        <v>-0.86037990224445626</v>
      </c>
      <c r="C466" s="1">
        <v>-29.111359580131609</v>
      </c>
      <c r="D466" s="1">
        <v>-28.222719160263221</v>
      </c>
      <c r="E466" s="6">
        <v>15</v>
      </c>
    </row>
    <row r="467" spans="1:5" x14ac:dyDescent="0.3">
      <c r="A467" s="1">
        <v>-0.90838713402236515</v>
      </c>
      <c r="B467" s="1">
        <v>0.69417166115589868</v>
      </c>
      <c r="C467" s="1">
        <v>58.473118900372754</v>
      </c>
      <c r="D467" s="1">
        <v>-6.9462378007455046</v>
      </c>
      <c r="E467" s="6">
        <v>1</v>
      </c>
    </row>
    <row r="468" spans="1:5" x14ac:dyDescent="0.3">
      <c r="A468" s="1">
        <v>-0.33913452440317599</v>
      </c>
      <c r="B468" s="1">
        <v>0.52099401965321734</v>
      </c>
      <c r="C468" s="1">
        <v>40.870178660476391</v>
      </c>
      <c r="D468" s="1">
        <v>17.608184449603005</v>
      </c>
      <c r="E468" s="6">
        <v>2</v>
      </c>
    </row>
    <row r="469" spans="1:5" x14ac:dyDescent="0.3">
      <c r="A469" s="1">
        <v>-2.6266463465891156E-2</v>
      </c>
      <c r="B469" s="1">
        <v>0.92130843039039512</v>
      </c>
      <c r="C469" s="1">
        <v>-6.0600304801163265</v>
      </c>
      <c r="D469" s="1">
        <v>56.716692066763606</v>
      </c>
      <c r="E469" s="6">
        <v>3</v>
      </c>
    </row>
    <row r="470" spans="1:5" x14ac:dyDescent="0.3">
      <c r="A470" s="1">
        <v>0.34496579867069938</v>
      </c>
      <c r="B470" s="1">
        <v>0.41598375225169204</v>
      </c>
      <c r="C470" s="1">
        <v>-78.993159734139866</v>
      </c>
      <c r="D470" s="1">
        <v>85.872434900302451</v>
      </c>
      <c r="E470" s="6">
        <v>4</v>
      </c>
    </row>
    <row r="471" spans="1:5" x14ac:dyDescent="0.3">
      <c r="A471" s="1">
        <v>0.99499728763809725</v>
      </c>
      <c r="B471" s="1">
        <v>0.43497703521395126</v>
      </c>
      <c r="C471" s="1">
        <v>-30.500271236190276</v>
      </c>
      <c r="D471" s="1">
        <v>-28.999457527619452</v>
      </c>
      <c r="E471" s="6">
        <v>5</v>
      </c>
    </row>
    <row r="472" spans="1:5" x14ac:dyDescent="0.3">
      <c r="A472" s="1">
        <v>-0.9688874548031573</v>
      </c>
      <c r="B472" s="1">
        <v>1.9618376758613471E-3</v>
      </c>
      <c r="C472" s="1">
        <v>78.501847069767251</v>
      </c>
      <c r="D472" s="1">
        <v>-28.405642562248548</v>
      </c>
      <c r="E472" s="6">
        <v>6</v>
      </c>
    </row>
    <row r="473" spans="1:5" x14ac:dyDescent="0.3">
      <c r="A473" s="1">
        <v>-0.36103237441223446</v>
      </c>
      <c r="B473" s="1">
        <v>-3.1292972512783068E-2</v>
      </c>
      <c r="C473" s="1">
        <v>60.173015346064069</v>
      </c>
      <c r="D473" s="1">
        <v>-9.357682610261044</v>
      </c>
      <c r="E473" s="6">
        <v>7</v>
      </c>
    </row>
    <row r="474" spans="1:5" x14ac:dyDescent="0.3">
      <c r="A474" s="1">
        <v>-1.8226721300175386E-2</v>
      </c>
      <c r="B474" s="1">
        <v>1.914609254857591E-3</v>
      </c>
      <c r="C474" s="1">
        <v>31.15345894040345</v>
      </c>
      <c r="D474" s="1">
        <v>28.305501360500632</v>
      </c>
      <c r="E474" s="6">
        <v>8</v>
      </c>
    </row>
    <row r="475" spans="1:5" x14ac:dyDescent="0.3">
      <c r="A475" s="1">
        <v>0.38232627739339464</v>
      </c>
      <c r="B475" s="1">
        <v>3.6680063636143422E-2</v>
      </c>
      <c r="C475" s="1">
        <v>-74.377665877268754</v>
      </c>
      <c r="D475" s="1">
        <v>78.8433162631909</v>
      </c>
      <c r="E475" s="6">
        <v>9</v>
      </c>
    </row>
    <row r="476" spans="1:5" x14ac:dyDescent="0.3">
      <c r="A476" s="1">
        <v>0.97474120320919477</v>
      </c>
      <c r="B476" s="1">
        <v>-3.0922717170506625E-3</v>
      </c>
      <c r="C476" s="1">
        <v>-31.441859185368145</v>
      </c>
      <c r="D476" s="1">
        <v>-24.308314288996879</v>
      </c>
      <c r="E476" s="6">
        <v>10</v>
      </c>
    </row>
    <row r="477" spans="1:5" x14ac:dyDescent="0.3">
      <c r="A477" s="1">
        <v>-0.90486244619262501</v>
      </c>
      <c r="B477" s="1">
        <v>-0.9813342011975984</v>
      </c>
      <c r="C477" s="1">
        <v>88.41437410321042</v>
      </c>
      <c r="D477" s="1">
        <v>-38.414374103210413</v>
      </c>
      <c r="E477" s="6">
        <v>11</v>
      </c>
    </row>
    <row r="478" spans="1:5" x14ac:dyDescent="0.3">
      <c r="A478" s="1">
        <v>-0.43924012256673323</v>
      </c>
      <c r="B478" s="1">
        <v>-0.73132490427700847</v>
      </c>
      <c r="C478" s="1">
        <v>80.65400204277887</v>
      </c>
      <c r="D478" s="1">
        <v>-30.654002042778885</v>
      </c>
      <c r="E478" s="6">
        <v>12</v>
      </c>
    </row>
    <row r="479" spans="1:5" x14ac:dyDescent="0.3">
      <c r="A479" s="1">
        <v>3.6761808028366316E-2</v>
      </c>
      <c r="B479" s="1">
        <v>-0.62173768121075912</v>
      </c>
      <c r="C479" s="1">
        <v>55.40477399645421</v>
      </c>
      <c r="D479" s="1">
        <v>-4.485728795745052</v>
      </c>
      <c r="E479" s="6">
        <v>13</v>
      </c>
    </row>
    <row r="480" spans="1:5" x14ac:dyDescent="0.3">
      <c r="A480" s="1">
        <v>0.38083911461747466</v>
      </c>
      <c r="B480" s="1">
        <v>-0.2852636151821073</v>
      </c>
      <c r="C480" s="1">
        <v>12.395110672815669</v>
      </c>
      <c r="D480" s="1">
        <v>47.1258671926212</v>
      </c>
      <c r="E480" s="6">
        <v>14</v>
      </c>
    </row>
    <row r="481" spans="1:5" x14ac:dyDescent="0.3">
      <c r="A481" s="1">
        <v>0.91804703174048841</v>
      </c>
      <c r="B481" s="1">
        <v>-0.60922582855972274</v>
      </c>
      <c r="C481" s="1">
        <v>-24.536468782699227</v>
      </c>
      <c r="D481" s="1">
        <v>-19.072937565398455</v>
      </c>
      <c r="E481" s="6">
        <v>15</v>
      </c>
    </row>
    <row r="482" spans="1:5" x14ac:dyDescent="0.3">
      <c r="A482" s="1">
        <v>-0.9857669972390054</v>
      </c>
      <c r="B482" s="1">
        <v>0.68501587047571455</v>
      </c>
      <c r="C482" s="1">
        <v>59.762783287316758</v>
      </c>
      <c r="D482" s="1">
        <v>-9.5255665746335119</v>
      </c>
      <c r="E482" s="6">
        <v>1</v>
      </c>
    </row>
    <row r="483" spans="1:5" x14ac:dyDescent="0.3">
      <c r="A483" s="1">
        <v>-0.40881499967497292</v>
      </c>
      <c r="B483" s="1">
        <v>0.419120519295472</v>
      </c>
      <c r="C483" s="1">
        <v>50.146916661249548</v>
      </c>
      <c r="D483" s="1">
        <v>9.706166677500903</v>
      </c>
      <c r="E483" s="6">
        <v>2</v>
      </c>
    </row>
    <row r="484" spans="1:5" x14ac:dyDescent="0.3">
      <c r="A484" s="1">
        <v>-5.5059913816837697E-3</v>
      </c>
      <c r="B484" s="1">
        <v>0.72121574702113245</v>
      </c>
      <c r="C484" s="1">
        <v>-9.1741012927474337</v>
      </c>
      <c r="D484" s="1">
        <v>59.311751077289529</v>
      </c>
      <c r="E484" s="6">
        <v>3</v>
      </c>
    </row>
    <row r="485" spans="1:5" x14ac:dyDescent="0.3">
      <c r="A485" s="1">
        <v>0.36383103434152275</v>
      </c>
      <c r="B485" s="1">
        <v>0.99608416736662031</v>
      </c>
      <c r="C485" s="1">
        <v>-82.766206868304565</v>
      </c>
      <c r="D485" s="1">
        <v>87.287327575614214</v>
      </c>
      <c r="E485" s="6">
        <v>4</v>
      </c>
    </row>
    <row r="486" spans="1:5" x14ac:dyDescent="0.3">
      <c r="A486" s="1">
        <v>0.95426224663881742</v>
      </c>
      <c r="B486" s="1">
        <v>0.3890092314605742</v>
      </c>
      <c r="C486" s="1">
        <v>-34.57377533611826</v>
      </c>
      <c r="D486" s="1">
        <v>-20.852449327763484</v>
      </c>
      <c r="E486" s="6">
        <v>5</v>
      </c>
    </row>
    <row r="487" spans="1:5" x14ac:dyDescent="0.3">
      <c r="A487" s="1">
        <v>-0.97112318147965448</v>
      </c>
      <c r="B487" s="1">
        <v>2.9534239432178998E-2</v>
      </c>
      <c r="C487" s="1">
        <v>75.110790559187635</v>
      </c>
      <c r="D487" s="1">
        <v>-24.67176875992757</v>
      </c>
      <c r="E487" s="6">
        <v>6</v>
      </c>
    </row>
    <row r="488" spans="1:5" x14ac:dyDescent="0.3">
      <c r="A488" s="1">
        <v>-0.51242778641212294</v>
      </c>
      <c r="B488" s="1">
        <v>2.7198099032360729E-3</v>
      </c>
      <c r="C488" s="1">
        <v>63.515974560938623</v>
      </c>
      <c r="D488" s="1">
        <v>-13.383584815192492</v>
      </c>
      <c r="E488" s="6">
        <v>7</v>
      </c>
    </row>
    <row r="489" spans="1:5" x14ac:dyDescent="0.3">
      <c r="A489" s="1">
        <v>-2.6845075893664881E-2</v>
      </c>
      <c r="B489" s="1">
        <v>1.0932919354141972E-2</v>
      </c>
      <c r="C489" s="1">
        <v>30.829410027219584</v>
      </c>
      <c r="D489" s="1">
        <v>28.072833894477718</v>
      </c>
      <c r="E489" s="6">
        <v>8</v>
      </c>
    </row>
    <row r="490" spans="1:5" x14ac:dyDescent="0.3">
      <c r="A490" s="1">
        <v>0.48387248484465306</v>
      </c>
      <c r="B490" s="1">
        <v>-3.0404291975899903E-2</v>
      </c>
      <c r="C490" s="1">
        <v>-58.38291623756966</v>
      </c>
      <c r="D490" s="1">
        <v>52.401860278903236</v>
      </c>
      <c r="E490" s="6">
        <v>9</v>
      </c>
    </row>
    <row r="491" spans="1:5" x14ac:dyDescent="0.3">
      <c r="A491" s="1">
        <v>0.98625694694899657</v>
      </c>
      <c r="B491" s="1">
        <v>3.8100688957675995E-2</v>
      </c>
      <c r="C491" s="1">
        <v>-32.409194117462462</v>
      </c>
      <c r="D491" s="1">
        <v>-24.962594118033049</v>
      </c>
      <c r="E491" s="6">
        <v>10</v>
      </c>
    </row>
    <row r="492" spans="1:5" x14ac:dyDescent="0.3">
      <c r="A492" s="1">
        <v>-0.89759381533340032</v>
      </c>
      <c r="B492" s="1">
        <v>-0.73514183701299907</v>
      </c>
      <c r="C492" s="1">
        <v>88.293230255556665</v>
      </c>
      <c r="D492" s="1">
        <v>-38.293230255556672</v>
      </c>
      <c r="E492" s="6">
        <v>11</v>
      </c>
    </row>
    <row r="493" spans="1:5" x14ac:dyDescent="0.3">
      <c r="A493" s="1">
        <v>-0.42677763700907401</v>
      </c>
      <c r="B493" s="1">
        <v>-0.31456209659297962</v>
      </c>
      <c r="C493" s="1">
        <v>80.44629395015123</v>
      </c>
      <c r="D493" s="1">
        <v>-30.446293950151233</v>
      </c>
      <c r="E493" s="6">
        <v>12</v>
      </c>
    </row>
    <row r="494" spans="1:5" x14ac:dyDescent="0.3">
      <c r="A494" s="1">
        <v>1.1083194028265048E-2</v>
      </c>
      <c r="B494" s="1">
        <v>-0.88291696044810919</v>
      </c>
      <c r="C494" s="1">
        <v>58.61460074646687</v>
      </c>
      <c r="D494" s="1">
        <v>-8.3375208957602425</v>
      </c>
      <c r="E494" s="6">
        <v>13</v>
      </c>
    </row>
    <row r="495" spans="1:5" x14ac:dyDescent="0.3">
      <c r="A495" s="1">
        <v>0.34265461939239833</v>
      </c>
      <c r="B495" s="1">
        <v>-0.765547774212189</v>
      </c>
      <c r="C495" s="1">
        <v>17.168172575950212</v>
      </c>
      <c r="D495" s="1">
        <v>41.398192908859748</v>
      </c>
      <c r="E495" s="6">
        <v>14</v>
      </c>
    </row>
    <row r="496" spans="1:5" x14ac:dyDescent="0.3">
      <c r="A496" s="1">
        <v>0.93821183244958473</v>
      </c>
      <c r="B496" s="1">
        <v>-0.81361535539538321</v>
      </c>
      <c r="C496" s="1">
        <v>-25.880788829972317</v>
      </c>
      <c r="D496" s="1">
        <v>-21.761577659944631</v>
      </c>
      <c r="E496" s="6">
        <v>15</v>
      </c>
    </row>
    <row r="497" spans="1:5" x14ac:dyDescent="0.3">
      <c r="A497" s="1">
        <v>-0.92790910204671295</v>
      </c>
      <c r="B497" s="1">
        <v>0.42532643997394937</v>
      </c>
      <c r="C497" s="1">
        <v>58.798485034111877</v>
      </c>
      <c r="D497" s="1">
        <v>-7.5969700682237651</v>
      </c>
      <c r="E497" s="6">
        <v>1</v>
      </c>
    </row>
    <row r="498" spans="1:5" x14ac:dyDescent="0.3">
      <c r="A498" s="1">
        <v>-0.42264849853178987</v>
      </c>
      <c r="B498" s="1">
        <v>0.26541963458134188</v>
      </c>
      <c r="C498" s="1">
        <v>50.377474975529829</v>
      </c>
      <c r="D498" s="1">
        <v>9.2450500489403389</v>
      </c>
      <c r="E498" s="6">
        <v>2</v>
      </c>
    </row>
    <row r="499" spans="1:5" x14ac:dyDescent="0.3">
      <c r="A499" s="1">
        <v>2.1798457853630687E-2</v>
      </c>
      <c r="B499" s="1">
        <v>0.32050338234995818</v>
      </c>
      <c r="C499" s="6">
        <v>-14.359691570726135</v>
      </c>
      <c r="D499" s="1">
        <v>61.634884339022292</v>
      </c>
      <c r="E499" s="6">
        <v>3</v>
      </c>
    </row>
    <row r="500" spans="1:5" x14ac:dyDescent="0.3">
      <c r="A500" s="1">
        <v>0.38883983097893837</v>
      </c>
      <c r="B500" s="1">
        <v>0.93626966176300441</v>
      </c>
      <c r="C500" s="6">
        <v>-87.767966195787665</v>
      </c>
      <c r="D500" s="1">
        <v>89.162987323420381</v>
      </c>
      <c r="E500" s="6">
        <v>4</v>
      </c>
    </row>
    <row r="501" spans="1:5" x14ac:dyDescent="0.3">
      <c r="A501" s="1">
        <v>0.94787428610969326</v>
      </c>
      <c r="B501" s="1">
        <v>0.39743351877769501</v>
      </c>
      <c r="C501" s="6">
        <v>-35.212571389030671</v>
      </c>
      <c r="D501" s="1">
        <v>-19.57485722193865</v>
      </c>
      <c r="E501" s="6">
        <v>5</v>
      </c>
    </row>
    <row r="502" spans="1:5" x14ac:dyDescent="0.3">
      <c r="A502" s="1">
        <v>-0.99223477957397377</v>
      </c>
      <c r="B502" s="1">
        <v>-3.1151986966096876E-2</v>
      </c>
      <c r="C502" s="6">
        <v>81.265989703748346</v>
      </c>
      <c r="D502" s="1">
        <v>-31.265989703748353</v>
      </c>
      <c r="E502" s="6">
        <v>6</v>
      </c>
    </row>
    <row r="503" spans="1:5" x14ac:dyDescent="0.3">
      <c r="A503" s="1">
        <v>-0.48467156957263308</v>
      </c>
      <c r="B503" s="1">
        <v>-3.1566598150427748E-2</v>
      </c>
      <c r="C503" s="6">
        <v>67.964683189954755</v>
      </c>
      <c r="D503" s="1">
        <v>-17.964683189954748</v>
      </c>
      <c r="E503" s="6">
        <v>7</v>
      </c>
    </row>
    <row r="504" spans="1:5" x14ac:dyDescent="0.3">
      <c r="A504" s="1">
        <v>6.2523342957673297E-2</v>
      </c>
      <c r="B504" s="1">
        <v>-1.612081215295378E-2</v>
      </c>
      <c r="C504" s="6">
        <v>15.88721659634413</v>
      </c>
      <c r="D504" s="1">
        <v>35.342140258408442</v>
      </c>
      <c r="E504" s="6">
        <v>8</v>
      </c>
    </row>
    <row r="505" spans="1:5" x14ac:dyDescent="0.3">
      <c r="A505" s="1">
        <v>0.39178519703978043</v>
      </c>
      <c r="B505" s="1">
        <v>-1.2989664306937945E-2</v>
      </c>
      <c r="C505" s="6">
        <v>-69.453582903654549</v>
      </c>
      <c r="D505" s="1">
        <v>75.366678436365433</v>
      </c>
      <c r="E505" s="6">
        <v>9</v>
      </c>
    </row>
    <row r="506" spans="1:5" x14ac:dyDescent="0.3">
      <c r="A506" s="1">
        <v>0.98331500461078591</v>
      </c>
      <c r="B506" s="1">
        <v>3.9282204257151405E-2</v>
      </c>
      <c r="C506" s="6">
        <v>-32.897752529383112</v>
      </c>
      <c r="D506" s="1">
        <v>-23.941062893108036</v>
      </c>
      <c r="E506" s="6">
        <v>10</v>
      </c>
    </row>
    <row r="507" spans="1:5" x14ac:dyDescent="0.3">
      <c r="A507" s="1">
        <v>-0.89175227837532201</v>
      </c>
      <c r="B507" s="1">
        <v>-0.93160770122422731</v>
      </c>
      <c r="C507" s="6">
        <v>88.19587130625537</v>
      </c>
      <c r="D507" s="1">
        <v>-38.195871306255363</v>
      </c>
      <c r="E507" s="6">
        <v>11</v>
      </c>
    </row>
    <row r="508" spans="1:5" x14ac:dyDescent="0.3">
      <c r="A508" s="1">
        <v>-0.43063667684129175</v>
      </c>
      <c r="B508" s="1">
        <v>-0.65451140430490973</v>
      </c>
      <c r="C508" s="6">
        <v>80.510611280688195</v>
      </c>
      <c r="D508" s="1">
        <v>-30.510611280688199</v>
      </c>
      <c r="E508" s="6">
        <v>12</v>
      </c>
    </row>
    <row r="509" spans="1:5" x14ac:dyDescent="0.3">
      <c r="A509" s="1">
        <v>-5.9397659195569635E-2</v>
      </c>
      <c r="B509" s="1">
        <v>-0.23286533226739425</v>
      </c>
      <c r="C509" s="6">
        <v>62.969882959778488</v>
      </c>
      <c r="D509" s="1">
        <v>-12.969882959778481</v>
      </c>
      <c r="E509" s="6">
        <v>13</v>
      </c>
    </row>
    <row r="510" spans="1:5" x14ac:dyDescent="0.3">
      <c r="A510" s="1">
        <v>0.48718692539991787</v>
      </c>
      <c r="B510" s="1">
        <v>-0.18583201249746018</v>
      </c>
      <c r="C510" s="6">
        <v>-3.15750053809486</v>
      </c>
      <c r="D510" s="1">
        <v>36.715260035609141</v>
      </c>
      <c r="E510" s="6">
        <v>14</v>
      </c>
    </row>
    <row r="511" spans="1:5" x14ac:dyDescent="0.3">
      <c r="A511" s="1">
        <v>0.97022060232282437</v>
      </c>
      <c r="B511" s="1">
        <v>-0.3845563342364291</v>
      </c>
      <c r="C511" s="6">
        <v>-28.014706821521624</v>
      </c>
      <c r="D511" s="1">
        <v>-26.029413643043249</v>
      </c>
      <c r="E511" s="6">
        <v>15</v>
      </c>
    </row>
    <row r="512" spans="1:5" x14ac:dyDescent="0.3">
      <c r="A512" s="1">
        <v>-0.97260838211482903</v>
      </c>
      <c r="B512" s="1">
        <v>0.878161826306186</v>
      </c>
      <c r="C512" s="6">
        <v>59.543473035247153</v>
      </c>
      <c r="D512" s="1">
        <v>-9.0869460704943013</v>
      </c>
      <c r="E512" s="6">
        <v>1</v>
      </c>
    </row>
    <row r="513" spans="1:5" x14ac:dyDescent="0.3">
      <c r="A513" s="1">
        <v>-0.49069718129264606</v>
      </c>
      <c r="B513" s="1">
        <v>0.41750132558624808</v>
      </c>
      <c r="C513" s="6">
        <v>51.511619688210772</v>
      </c>
      <c r="D513" s="1">
        <v>6.9767606235784658</v>
      </c>
      <c r="E513" s="6">
        <v>2</v>
      </c>
    </row>
    <row r="514" spans="1:5" x14ac:dyDescent="0.3">
      <c r="A514" s="1">
        <v>4.9652388933795769E-2</v>
      </c>
      <c r="B514" s="1">
        <v>0.93837101744005658</v>
      </c>
      <c r="C514" s="1">
        <v>-19.930477786759155</v>
      </c>
      <c r="D514" s="1">
        <v>63.723929170034687</v>
      </c>
      <c r="E514" s="6">
        <v>3</v>
      </c>
    </row>
    <row r="515" spans="1:5" x14ac:dyDescent="0.3">
      <c r="A515" s="1">
        <v>0.4555544174562392</v>
      </c>
      <c r="B515" s="1">
        <v>0.73116387844575903</v>
      </c>
      <c r="C515" s="1">
        <v>-84.444558254376076</v>
      </c>
      <c r="D515" s="1">
        <v>78.889116508752167</v>
      </c>
      <c r="E515" s="6">
        <v>4</v>
      </c>
    </row>
    <row r="516" spans="1:5" x14ac:dyDescent="0.3">
      <c r="A516" s="1">
        <v>0.9668710243523686</v>
      </c>
      <c r="B516" s="1">
        <v>0.76197097121863877</v>
      </c>
      <c r="C516" s="1">
        <v>-33.312897564763141</v>
      </c>
      <c r="D516" s="1">
        <v>-23.374204870473719</v>
      </c>
      <c r="E516" s="6">
        <v>5</v>
      </c>
    </row>
    <row r="517" spans="1:5" x14ac:dyDescent="0.3">
      <c r="A517" s="1">
        <v>-0.90040110800429574</v>
      </c>
      <c r="B517" s="1">
        <v>3.5869908913480214E-3</v>
      </c>
      <c r="C517" s="1">
        <v>75.929304680948434</v>
      </c>
      <c r="D517" s="1">
        <v>-25.756165618770709</v>
      </c>
      <c r="E517" s="6">
        <v>6</v>
      </c>
    </row>
    <row r="518" spans="1:5" x14ac:dyDescent="0.3">
      <c r="A518" s="1">
        <v>-0.40870301836110745</v>
      </c>
      <c r="B518" s="1">
        <v>2.4202473026135353E-2</v>
      </c>
      <c r="C518" s="1">
        <v>59.105914437616235</v>
      </c>
      <c r="D518" s="1">
        <v>-7.9299068387291891</v>
      </c>
      <c r="E518" s="6">
        <v>7</v>
      </c>
    </row>
    <row r="519" spans="1:5" x14ac:dyDescent="0.3">
      <c r="A519" s="1">
        <v>3.6086525122156377E-2</v>
      </c>
      <c r="B519" s="1">
        <v>2.0549388664137316E-3</v>
      </c>
      <c r="C519" s="1">
        <v>18.665178157751132</v>
      </c>
      <c r="D519" s="1">
        <v>35.326090231919736</v>
      </c>
      <c r="E519" s="6">
        <v>8</v>
      </c>
    </row>
    <row r="520" spans="1:5" x14ac:dyDescent="0.3">
      <c r="A520" s="1">
        <v>0.51139679602723254</v>
      </c>
      <c r="B520" s="1">
        <v>1.1173536951130866E-2</v>
      </c>
      <c r="C520" s="1">
        <v>-69.639824330774118</v>
      </c>
      <c r="D520" s="1">
        <v>56.604581335462463</v>
      </c>
      <c r="E520" s="6">
        <v>9</v>
      </c>
    </row>
    <row r="521" spans="1:5" x14ac:dyDescent="0.3">
      <c r="A521" s="1">
        <v>0.96626412090680369</v>
      </c>
      <c r="B521" s="1">
        <v>1.6459871945469981E-3</v>
      </c>
      <c r="C521" s="1">
        <v>-33.251598520859034</v>
      </c>
      <c r="D521" s="1">
        <v>-22.943643244778308</v>
      </c>
      <c r="E521" s="6">
        <v>10</v>
      </c>
    </row>
    <row r="522" spans="1:5" x14ac:dyDescent="0.3">
      <c r="A522" s="1">
        <v>-0.92964855517891953</v>
      </c>
      <c r="B522" s="1">
        <v>-0.34470503599631286</v>
      </c>
      <c r="C522" s="1">
        <v>88.827475919648649</v>
      </c>
      <c r="D522" s="1">
        <v>-38.827475919648663</v>
      </c>
      <c r="E522" s="6">
        <v>11</v>
      </c>
    </row>
    <row r="523" spans="1:5" x14ac:dyDescent="0.3">
      <c r="A523" s="1">
        <v>-0.39617622726614682</v>
      </c>
      <c r="B523" s="1">
        <v>-0.38835150740064017</v>
      </c>
      <c r="C523" s="1">
        <v>79.808811363307328</v>
      </c>
      <c r="D523" s="1">
        <v>-29.808811363307338</v>
      </c>
      <c r="E523" s="6">
        <v>12</v>
      </c>
    </row>
    <row r="524" spans="1:5" x14ac:dyDescent="0.3">
      <c r="A524" s="1">
        <v>-3.8201864541969929E-2</v>
      </c>
      <c r="B524" s="1">
        <v>-0.19932810699435777</v>
      </c>
      <c r="C524" s="1">
        <v>61.797233788134648</v>
      </c>
      <c r="D524" s="1">
        <v>-11.763863351482353</v>
      </c>
      <c r="E524" s="6">
        <v>13</v>
      </c>
    </row>
    <row r="525" spans="1:5" x14ac:dyDescent="0.3">
      <c r="A525" s="1">
        <v>0.33728204949680851</v>
      </c>
      <c r="B525" s="1">
        <v>-0.99562081907501621</v>
      </c>
      <c r="C525" s="1">
        <v>17.839743812898938</v>
      </c>
      <c r="D525" s="1">
        <v>40.592307424521273</v>
      </c>
      <c r="E525" s="6">
        <v>14</v>
      </c>
    </row>
    <row r="526" spans="1:5" x14ac:dyDescent="0.3">
      <c r="A526" s="1">
        <v>0.94030946682469363</v>
      </c>
      <c r="B526" s="1">
        <v>-0.44629785644760356</v>
      </c>
      <c r="C526" s="1">
        <v>-26.020631121646243</v>
      </c>
      <c r="D526" s="1">
        <v>-22.041262243292483</v>
      </c>
      <c r="E526" s="6">
        <v>15</v>
      </c>
    </row>
    <row r="527" spans="1:5" x14ac:dyDescent="0.3">
      <c r="A527" s="1">
        <v>-0.97623451117570681</v>
      </c>
      <c r="B527" s="1">
        <v>0.50167820293467336</v>
      </c>
      <c r="C527" s="1">
        <v>59.603908519595116</v>
      </c>
      <c r="D527" s="1">
        <v>-9.2078170391902283</v>
      </c>
      <c r="E527" s="6">
        <v>1</v>
      </c>
    </row>
    <row r="528" spans="1:5" x14ac:dyDescent="0.3">
      <c r="A528" s="1">
        <v>-0.5006017937592484</v>
      </c>
      <c r="B528" s="1">
        <v>0.50489555147206444</v>
      </c>
      <c r="C528" s="1">
        <v>51.676696562654143</v>
      </c>
      <c r="D528" s="1">
        <v>6.6466068746917202</v>
      </c>
      <c r="E528" s="6">
        <v>2</v>
      </c>
    </row>
    <row r="529" spans="1:5" x14ac:dyDescent="0.3">
      <c r="A529" s="1">
        <v>-4.7222327891766051E-2</v>
      </c>
      <c r="B529" s="1">
        <v>0.85328145664461374</v>
      </c>
      <c r="C529" s="1">
        <v>-2.9166508162350917</v>
      </c>
      <c r="D529" s="1">
        <v>54.097209013529245</v>
      </c>
      <c r="E529" s="6">
        <v>3</v>
      </c>
    </row>
    <row r="530" spans="1:5" x14ac:dyDescent="0.3">
      <c r="A530" s="1">
        <v>0.36607404194653759</v>
      </c>
      <c r="B530" s="1">
        <v>0.3806158461974346</v>
      </c>
      <c r="C530" s="1">
        <v>-83.214808389307507</v>
      </c>
      <c r="D530" s="1">
        <v>87.455553145990322</v>
      </c>
      <c r="E530" s="6">
        <v>4</v>
      </c>
    </row>
    <row r="531" spans="1:5" x14ac:dyDescent="0.3">
      <c r="A531" s="1">
        <v>0.93059145687626987</v>
      </c>
      <c r="B531" s="1">
        <v>0.20973970588809127</v>
      </c>
      <c r="C531" s="1">
        <v>-36.940854312373013</v>
      </c>
      <c r="D531" s="1">
        <v>-16.118291375253975</v>
      </c>
      <c r="E531" s="6">
        <v>5</v>
      </c>
    </row>
    <row r="532" spans="1:5" x14ac:dyDescent="0.3">
      <c r="A532" s="1">
        <v>-0.97036528160724622</v>
      </c>
      <c r="B532" s="1">
        <v>6.1627791223248102E-3</v>
      </c>
      <c r="C532" s="1">
        <v>77.618262494717783</v>
      </c>
      <c r="D532" s="1">
        <v>-27.328011091482391</v>
      </c>
      <c r="E532" s="6">
        <v>6</v>
      </c>
    </row>
    <row r="533" spans="1:5" x14ac:dyDescent="0.3">
      <c r="A533" s="1">
        <v>-0.4522427016581243</v>
      </c>
      <c r="B533" s="1">
        <v>-2.4808835950863369E-2</v>
      </c>
      <c r="C533" s="1">
        <v>65.820795179935345</v>
      </c>
      <c r="D533" s="1">
        <v>-15.820795179935331</v>
      </c>
      <c r="E533" s="6">
        <v>7</v>
      </c>
    </row>
    <row r="534" spans="1:5" x14ac:dyDescent="0.3">
      <c r="A534" s="1">
        <v>-6.4085691758389934E-2</v>
      </c>
      <c r="B534" s="1">
        <v>-3.9536341341963391E-3</v>
      </c>
      <c r="C534" s="1">
        <v>36.144932391022998</v>
      </c>
      <c r="D534" s="1">
        <v>21.933532374527417</v>
      </c>
      <c r="E534" s="6">
        <v>8</v>
      </c>
    </row>
    <row r="535" spans="1:5" x14ac:dyDescent="0.3">
      <c r="A535" s="1">
        <v>0.4897923073049586</v>
      </c>
      <c r="B535" s="1">
        <v>3.4976969745526575E-2</v>
      </c>
      <c r="C535" s="1">
        <v>-69.828016754668795</v>
      </c>
      <c r="D535" s="1">
        <v>56.006455022095892</v>
      </c>
      <c r="E535" s="6">
        <v>9</v>
      </c>
    </row>
    <row r="536" spans="1:5" x14ac:dyDescent="0.3">
      <c r="A536" s="1">
        <v>0.90254061722485501</v>
      </c>
      <c r="B536" s="1">
        <v>-7.0030142486002048E-3</v>
      </c>
      <c r="C536" s="1">
        <v>-36.281143039510184</v>
      </c>
      <c r="D536" s="1">
        <v>-10.68394675294201</v>
      </c>
      <c r="E536" s="6">
        <v>10</v>
      </c>
    </row>
    <row r="537" spans="1:5" x14ac:dyDescent="0.3">
      <c r="A537" s="1">
        <v>-0.93588889861369395</v>
      </c>
      <c r="B537" s="1">
        <v>-0.32982962418257844</v>
      </c>
      <c r="C537" s="1">
        <v>88.931481643561568</v>
      </c>
      <c r="D537" s="1">
        <v>-38.931481643561568</v>
      </c>
      <c r="E537" s="6">
        <v>11</v>
      </c>
    </row>
    <row r="538" spans="1:5" x14ac:dyDescent="0.3">
      <c r="A538" s="1">
        <v>-0.39440553345033402</v>
      </c>
      <c r="B538" s="1">
        <v>-0.56030336670168412</v>
      </c>
      <c r="C538" s="1">
        <v>79.720276672516704</v>
      </c>
      <c r="D538" s="1">
        <v>-29.720276672516704</v>
      </c>
      <c r="E538" s="6">
        <v>12</v>
      </c>
    </row>
    <row r="539" spans="1:5" x14ac:dyDescent="0.3">
      <c r="A539" s="1">
        <v>7.5635828239516215E-2</v>
      </c>
      <c r="B539" s="1">
        <v>-0.37970718591001407</v>
      </c>
      <c r="C539" s="1">
        <v>50.545521470060478</v>
      </c>
      <c r="D539" s="1">
        <v>1.3453742359274319</v>
      </c>
      <c r="E539" s="6">
        <v>13</v>
      </c>
    </row>
    <row r="540" spans="1:5" x14ac:dyDescent="0.3">
      <c r="A540" s="1">
        <v>0.36287997751701645</v>
      </c>
      <c r="B540" s="1">
        <v>-0.34315730656381249</v>
      </c>
      <c r="C540" s="1">
        <v>14.640002810372948</v>
      </c>
      <c r="D540" s="1">
        <v>44.431996627552465</v>
      </c>
      <c r="E540" s="6">
        <v>14</v>
      </c>
    </row>
    <row r="541" spans="1:5" x14ac:dyDescent="0.3">
      <c r="A541" s="1">
        <v>0.91787450209219068</v>
      </c>
      <c r="B541" s="1">
        <v>-0.55448870642260495</v>
      </c>
      <c r="C541" s="1">
        <v>-24.524966806146047</v>
      </c>
      <c r="D541" s="1">
        <v>-19.049933612292094</v>
      </c>
      <c r="E541" s="6">
        <v>15</v>
      </c>
    </row>
    <row r="542" spans="1:5" x14ac:dyDescent="0.3">
      <c r="A542" s="1">
        <v>-0.97643673338616788</v>
      </c>
      <c r="B542" s="1">
        <v>0.44042218485367646</v>
      </c>
      <c r="C542" s="1">
        <v>59.607278889769468</v>
      </c>
      <c r="D542" s="1">
        <v>-9.2145577795389286</v>
      </c>
      <c r="E542" s="6">
        <v>1</v>
      </c>
    </row>
    <row r="543" spans="1:5" x14ac:dyDescent="0.3">
      <c r="A543" s="1">
        <v>-0.46098710667930204</v>
      </c>
      <c r="B543" s="1">
        <v>0.98926501141984391</v>
      </c>
      <c r="C543" s="1">
        <v>51.016451777988358</v>
      </c>
      <c r="D543" s="1">
        <v>7.9670964440232659</v>
      </c>
      <c r="E543" s="6">
        <v>2</v>
      </c>
    </row>
    <row r="544" spans="1:5" x14ac:dyDescent="0.3">
      <c r="A544" s="1">
        <v>-1.5690131302503102E-2</v>
      </c>
      <c r="B544" s="1">
        <v>0.54819922801029308</v>
      </c>
      <c r="C544" s="1">
        <v>-7.6464803046245358</v>
      </c>
      <c r="D544" s="1">
        <v>58.038733587187117</v>
      </c>
      <c r="E544" s="6">
        <v>3</v>
      </c>
    </row>
    <row r="545" spans="1:5" x14ac:dyDescent="0.3">
      <c r="A545" s="1">
        <v>0.37461636696293577</v>
      </c>
      <c r="B545" s="1">
        <v>0.46707791592665349</v>
      </c>
      <c r="C545" s="1">
        <v>-84.923273392587149</v>
      </c>
      <c r="D545" s="1">
        <v>88.096227522220175</v>
      </c>
      <c r="E545" s="6">
        <v>4</v>
      </c>
    </row>
    <row r="546" spans="1:5" x14ac:dyDescent="0.3">
      <c r="A546" s="1">
        <v>0.99090745464429253</v>
      </c>
      <c r="B546" s="1">
        <v>0.23127691337305106</v>
      </c>
      <c r="C546" s="1">
        <v>-30.909254535570749</v>
      </c>
      <c r="D546" s="1">
        <v>-28.181490928858505</v>
      </c>
      <c r="E546" s="6">
        <v>5</v>
      </c>
    </row>
    <row r="547" spans="1:5" x14ac:dyDescent="0.3">
      <c r="A547" s="1">
        <v>-0.96463105145863115</v>
      </c>
      <c r="B547" s="1">
        <v>-6.9792177961128243E-3</v>
      </c>
      <c r="C547" s="1">
        <v>79.224144578103775</v>
      </c>
      <c r="D547" s="1">
        <v>-29.224144578103768</v>
      </c>
      <c r="E547" s="6">
        <v>6</v>
      </c>
    </row>
    <row r="548" spans="1:5" x14ac:dyDescent="0.3">
      <c r="A548" s="1">
        <v>-0.34859393431720276</v>
      </c>
      <c r="B548" s="1">
        <v>2.828174230582297E-2</v>
      </c>
      <c r="C548" s="1">
        <v>48.65134498863717</v>
      </c>
      <c r="D548" s="1">
        <v>3.495968959441365</v>
      </c>
      <c r="E548" s="6">
        <v>7</v>
      </c>
    </row>
    <row r="549" spans="1:5" x14ac:dyDescent="0.3">
      <c r="A549" s="1">
        <v>-6.0807251653122854E-2</v>
      </c>
      <c r="B549" s="1">
        <v>-3.9100094048393749E-2</v>
      </c>
      <c r="C549" s="1">
        <v>43.823591425179437</v>
      </c>
      <c r="D549" s="1">
        <v>12.345711956215995</v>
      </c>
      <c r="E549" s="6">
        <v>8</v>
      </c>
    </row>
    <row r="550" spans="1:5" x14ac:dyDescent="0.3">
      <c r="A550" s="1">
        <v>0.45461567254651913</v>
      </c>
      <c r="B550" s="1">
        <v>2.8368462102983223E-2</v>
      </c>
      <c r="C550" s="1">
        <v>-73.499281407313461</v>
      </c>
      <c r="D550" s="1">
        <v>64.258459282168175</v>
      </c>
      <c r="E550" s="6">
        <v>9</v>
      </c>
    </row>
    <row r="551" spans="1:5" x14ac:dyDescent="0.3">
      <c r="A551" s="1">
        <v>0.98883083233585145</v>
      </c>
      <c r="B551" s="1">
        <v>-3.3041731611188549E-3</v>
      </c>
      <c r="C551" s="1">
        <v>-30.261295678120977</v>
      </c>
      <c r="D551" s="1">
        <v>-26.738418304147554</v>
      </c>
      <c r="E551" s="6">
        <v>10</v>
      </c>
    </row>
    <row r="552" spans="1:5" x14ac:dyDescent="0.3">
      <c r="A552" s="1">
        <v>-0.92043998647305336</v>
      </c>
      <c r="B552" s="1">
        <v>-0.84690560524533209</v>
      </c>
      <c r="C552" s="1">
        <v>88.673999774550879</v>
      </c>
      <c r="D552" s="1">
        <v>-38.673999774550893</v>
      </c>
      <c r="E552" s="6">
        <v>11</v>
      </c>
    </row>
    <row r="553" spans="1:5" x14ac:dyDescent="0.3">
      <c r="A553" s="1">
        <v>-0.42782622413774296</v>
      </c>
      <c r="B553" s="1">
        <v>-0.85802604992667608</v>
      </c>
      <c r="C553" s="1">
        <v>80.463770402295722</v>
      </c>
      <c r="D553" s="1">
        <v>-30.463770402295715</v>
      </c>
      <c r="E553" s="6">
        <v>12</v>
      </c>
    </row>
    <row r="554" spans="1:5" x14ac:dyDescent="0.3">
      <c r="A554" s="1">
        <v>-4.2441817521975803E-2</v>
      </c>
      <c r="B554" s="1">
        <v>-0.59675193417217698</v>
      </c>
      <c r="C554" s="1">
        <v>62.122090876098788</v>
      </c>
      <c r="D554" s="1">
        <v>-12.122090876098792</v>
      </c>
      <c r="E554" s="6">
        <v>13</v>
      </c>
    </row>
    <row r="555" spans="1:5" x14ac:dyDescent="0.3">
      <c r="A555" s="1">
        <v>0.47656535069507566</v>
      </c>
      <c r="B555" s="1">
        <v>-0.53118304213046585</v>
      </c>
      <c r="C555" s="1">
        <v>4.8956432869949564</v>
      </c>
      <c r="D555" s="1">
        <v>39.791286573989915</v>
      </c>
      <c r="E555" s="6">
        <v>14</v>
      </c>
    </row>
    <row r="556" spans="1:5" x14ac:dyDescent="0.3">
      <c r="A556" s="1">
        <v>0.92448424255018014</v>
      </c>
      <c r="B556" s="1">
        <v>-0.69584335001177355</v>
      </c>
      <c r="C556" s="1">
        <v>-24.965616170012012</v>
      </c>
      <c r="D556" s="1">
        <v>-19.931232340024017</v>
      </c>
      <c r="E556" s="6">
        <v>15</v>
      </c>
    </row>
    <row r="557" spans="1:5" x14ac:dyDescent="0.3">
      <c r="A557" s="1">
        <v>-0.97251225508019912</v>
      </c>
      <c r="B557" s="1">
        <v>0.20411459259812911</v>
      </c>
      <c r="C557" s="1">
        <v>59.541870918003319</v>
      </c>
      <c r="D557" s="1">
        <v>-9.083741836006638</v>
      </c>
      <c r="E557" s="6">
        <v>1</v>
      </c>
    </row>
    <row r="558" spans="1:5" x14ac:dyDescent="0.3">
      <c r="A558" s="1">
        <v>-0.48661728338662602</v>
      </c>
      <c r="B558" s="1">
        <v>0.20284914309434557</v>
      </c>
      <c r="C558" s="1">
        <v>51.4436213897771</v>
      </c>
      <c r="D558" s="1">
        <v>7.1127572204458005</v>
      </c>
      <c r="E558" s="6">
        <v>2</v>
      </c>
    </row>
    <row r="559" spans="1:5" x14ac:dyDescent="0.3">
      <c r="A559" s="1">
        <v>-2.5749120320774296E-2</v>
      </c>
      <c r="B559" s="1">
        <v>0.50640379711183348</v>
      </c>
      <c r="C559" s="1">
        <v>-6.137631951883856</v>
      </c>
      <c r="D559" s="1">
        <v>56.781359959903213</v>
      </c>
      <c r="E559" s="6">
        <v>3</v>
      </c>
    </row>
    <row r="560" spans="1:5" x14ac:dyDescent="0.3">
      <c r="A560" s="1">
        <v>0.50658152444016813</v>
      </c>
      <c r="B560" s="1">
        <v>0.18548623480482151</v>
      </c>
      <c r="C560" s="1">
        <v>-76.256700025970403</v>
      </c>
      <c r="D560" s="1">
        <v>63.147112740124655</v>
      </c>
      <c r="E560" s="6">
        <v>4</v>
      </c>
    </row>
    <row r="561" spans="1:5" x14ac:dyDescent="0.3">
      <c r="A561" s="1">
        <v>0.93579254789919064</v>
      </c>
      <c r="B561" s="1">
        <v>0.8721814535128164</v>
      </c>
      <c r="C561" s="1">
        <v>-36.420745210080938</v>
      </c>
      <c r="D561" s="1">
        <v>-17.158509579838128</v>
      </c>
      <c r="E561" s="6">
        <v>5</v>
      </c>
    </row>
    <row r="562" spans="1:5" x14ac:dyDescent="0.3">
      <c r="A562" s="1">
        <v>-0.92603320891598262</v>
      </c>
      <c r="B562" s="1">
        <v>-2.4939066490488208E-2</v>
      </c>
      <c r="C562" s="1">
        <v>79.022421449714457</v>
      </c>
      <c r="D562" s="1">
        <v>-29.022421449714457</v>
      </c>
      <c r="E562" s="6">
        <v>6</v>
      </c>
    </row>
    <row r="563" spans="1:5" x14ac:dyDescent="0.3">
      <c r="A563" s="1">
        <v>-0.49576945558135294</v>
      </c>
      <c r="B563" s="1">
        <v>-2.7371190847012693E-2</v>
      </c>
      <c r="C563" s="1">
        <v>67.878636315688993</v>
      </c>
      <c r="D563" s="1">
        <v>-17.878636315688986</v>
      </c>
      <c r="E563" s="6">
        <v>7</v>
      </c>
    </row>
    <row r="564" spans="1:5" x14ac:dyDescent="0.3">
      <c r="A564" s="1">
        <v>3.3898969472060628E-2</v>
      </c>
      <c r="B564" s="1">
        <v>1.9565075430292997E-2</v>
      </c>
      <c r="C564" s="1">
        <v>9.9871520722632425</v>
      </c>
      <c r="D564" s="1">
        <v>40.480574537823884</v>
      </c>
      <c r="E564" s="6">
        <v>8</v>
      </c>
    </row>
    <row r="565" spans="1:5" x14ac:dyDescent="0.3">
      <c r="A565" s="1">
        <v>0.40111055430806564</v>
      </c>
      <c r="B565" s="1">
        <v>-8.856655878521736E-3</v>
      </c>
      <c r="C565" s="1">
        <v>-75.844794408223763</v>
      </c>
      <c r="D565" s="1">
        <v>78.270699977231729</v>
      </c>
      <c r="E565" s="6">
        <v>9</v>
      </c>
    </row>
    <row r="566" spans="1:5" x14ac:dyDescent="0.3">
      <c r="A566" s="1">
        <v>0.98902279095938517</v>
      </c>
      <c r="B566" s="1">
        <v>-2.2274758325023038E-2</v>
      </c>
      <c r="C566" s="1">
        <v>-30.176495394541615</v>
      </c>
      <c r="D566" s="1">
        <v>-26.646587503709281</v>
      </c>
      <c r="E566" s="6">
        <v>10</v>
      </c>
    </row>
    <row r="567" spans="1:5" x14ac:dyDescent="0.3">
      <c r="A567" s="1">
        <v>-0.95630742342255404</v>
      </c>
      <c r="B567" s="1">
        <v>-0.95737022731024068</v>
      </c>
      <c r="C567" s="1">
        <v>89.271790390375898</v>
      </c>
      <c r="D567" s="1">
        <v>-39.271790390375898</v>
      </c>
      <c r="E567" s="6">
        <v>11</v>
      </c>
    </row>
    <row r="568" spans="1:5" x14ac:dyDescent="0.3">
      <c r="A568" s="1">
        <v>-0.49033370946081972</v>
      </c>
      <c r="B568" s="1">
        <v>-0.94446251383447477</v>
      </c>
      <c r="C568" s="1">
        <v>81.505561824346998</v>
      </c>
      <c r="D568" s="1">
        <v>-31.505561824346998</v>
      </c>
      <c r="E568" s="6">
        <v>12</v>
      </c>
    </row>
    <row r="569" spans="1:5" x14ac:dyDescent="0.3">
      <c r="A569" s="1">
        <v>-5.8444690667434733E-2</v>
      </c>
      <c r="B569" s="1">
        <v>-0.3741359615991412</v>
      </c>
      <c r="C569" s="1">
        <v>62.922234533371736</v>
      </c>
      <c r="D569" s="1">
        <v>-12.922234533371736</v>
      </c>
      <c r="E569" s="6">
        <v>13</v>
      </c>
    </row>
    <row r="570" spans="1:5" x14ac:dyDescent="0.3">
      <c r="A570" s="1">
        <v>0.33099622169487591</v>
      </c>
      <c r="B570" s="1">
        <v>-0.77413368835497365</v>
      </c>
      <c r="C570" s="1">
        <v>18.625472288140514</v>
      </c>
      <c r="D570" s="1">
        <v>39.649433254231383</v>
      </c>
      <c r="E570" s="6">
        <v>14</v>
      </c>
    </row>
    <row r="571" spans="1:5" x14ac:dyDescent="0.3">
      <c r="A571" s="1">
        <v>0.99443680771573684</v>
      </c>
      <c r="B571" s="1">
        <v>-0.98961964088920629</v>
      </c>
      <c r="C571" s="1">
        <v>-29.629120514382453</v>
      </c>
      <c r="D571" s="1">
        <v>-29.25824102876491</v>
      </c>
      <c r="E571" s="6">
        <v>15</v>
      </c>
    </row>
    <row r="572" spans="1:5" x14ac:dyDescent="0.3">
      <c r="A572" s="1">
        <v>-0.92903072936567421</v>
      </c>
      <c r="B572" s="1">
        <v>0.3932451565288414</v>
      </c>
      <c r="C572" s="1">
        <v>58.817178822761235</v>
      </c>
      <c r="D572" s="1">
        <v>-7.6343576455224742</v>
      </c>
      <c r="E572" s="6">
        <v>1</v>
      </c>
    </row>
    <row r="573" spans="1:5" x14ac:dyDescent="0.3">
      <c r="A573" s="1">
        <v>-0.36371282775354619</v>
      </c>
      <c r="B573" s="1">
        <v>0.96585383422382431</v>
      </c>
      <c r="C573" s="1">
        <v>44.55692416303193</v>
      </c>
      <c r="D573" s="1">
        <v>14.535896530806729</v>
      </c>
      <c r="E573" s="6">
        <v>2</v>
      </c>
    </row>
    <row r="574" spans="1:5" x14ac:dyDescent="0.3">
      <c r="A574" s="1">
        <v>-2.8898976009816654E-2</v>
      </c>
      <c r="B574" s="1">
        <v>0.35751604259502984</v>
      </c>
      <c r="C574" s="6">
        <v>-5.6651535985275014</v>
      </c>
      <c r="D574" s="1">
        <v>56.387627998772921</v>
      </c>
      <c r="E574" s="6">
        <v>3</v>
      </c>
    </row>
    <row r="575" spans="1:5" x14ac:dyDescent="0.3">
      <c r="A575" s="1">
        <v>0.42869011433962162</v>
      </c>
      <c r="B575" s="1">
        <v>0.93646879499472802</v>
      </c>
      <c r="C575" s="6">
        <v>-87.130988566037843</v>
      </c>
      <c r="D575" s="1">
        <v>84.261977132075685</v>
      </c>
      <c r="E575" s="6">
        <v>4</v>
      </c>
    </row>
    <row r="576" spans="1:5" x14ac:dyDescent="0.3">
      <c r="A576" s="1">
        <v>0.98591485972372439</v>
      </c>
      <c r="B576" s="1">
        <v>0.5440967596157853</v>
      </c>
      <c r="C576" s="6">
        <v>-31.408514027627561</v>
      </c>
      <c r="D576" s="1">
        <v>-27.182971944744878</v>
      </c>
      <c r="E576" s="6">
        <v>5</v>
      </c>
    </row>
    <row r="577" spans="1:5" x14ac:dyDescent="0.3">
      <c r="A577" s="1">
        <v>-0.94343653213779299</v>
      </c>
      <c r="B577" s="1">
        <v>-3.9042012612961273E-2</v>
      </c>
      <c r="C577" s="6">
        <v>80.056078405037482</v>
      </c>
      <c r="D577" s="1">
        <v>-30.056078405037482</v>
      </c>
      <c r="E577" s="6">
        <v>6</v>
      </c>
    </row>
    <row r="578" spans="1:5" x14ac:dyDescent="0.3">
      <c r="A578" s="1">
        <v>-0.49127071462215371</v>
      </c>
      <c r="B578" s="1">
        <v>-3.1256592836203627E-2</v>
      </c>
      <c r="C578" s="6">
        <v>68.228230558346169</v>
      </c>
      <c r="D578" s="1">
        <v>-18.228230558346176</v>
      </c>
      <c r="E578" s="6">
        <v>7</v>
      </c>
    </row>
    <row r="579" spans="1:5" x14ac:dyDescent="0.3">
      <c r="A579" s="1">
        <v>-6.8677531118862323E-2</v>
      </c>
      <c r="B579" s="1">
        <v>4.5664113123516786E-3</v>
      </c>
      <c r="C579" s="6">
        <v>34.489179310799415</v>
      </c>
      <c r="D579" s="1">
        <v>23.650511227323364</v>
      </c>
      <c r="E579" s="6">
        <v>8</v>
      </c>
    </row>
    <row r="580" spans="1:5" x14ac:dyDescent="0.3">
      <c r="A580" s="1">
        <v>0.42320460587530051</v>
      </c>
      <c r="B580" s="1">
        <v>1.2097984332105238E-2</v>
      </c>
      <c r="C580" s="6">
        <v>-76.971699935609607</v>
      </c>
      <c r="D580" s="1">
        <v>72.663975580173897</v>
      </c>
      <c r="E580" s="6">
        <v>9</v>
      </c>
    </row>
    <row r="581" spans="1:5" x14ac:dyDescent="0.3">
      <c r="A581" s="1">
        <v>0.93963726716800766</v>
      </c>
      <c r="B581" s="1">
        <v>-2.2892300154037634E-2</v>
      </c>
      <c r="C581" s="6">
        <v>-30.837527404091123</v>
      </c>
      <c r="D581" s="1">
        <v>-14.08697932226865</v>
      </c>
      <c r="E581" s="6">
        <v>10</v>
      </c>
    </row>
    <row r="582" spans="1:5" x14ac:dyDescent="0.3">
      <c r="A582" s="1">
        <v>-0.96133414715747412</v>
      </c>
      <c r="B582" s="1">
        <v>-0.88085723899440371</v>
      </c>
      <c r="C582" s="6">
        <v>89.355569119291232</v>
      </c>
      <c r="D582" s="1">
        <v>-39.355569119291239</v>
      </c>
      <c r="E582" s="6">
        <v>11</v>
      </c>
    </row>
    <row r="583" spans="1:5" x14ac:dyDescent="0.3">
      <c r="A583" s="1">
        <v>-0.40099298710721698</v>
      </c>
      <c r="B583" s="1">
        <v>-0.30722654613232447</v>
      </c>
      <c r="C583" s="6">
        <v>80.016549785120276</v>
      </c>
      <c r="D583" s="1">
        <v>-30.016549785120286</v>
      </c>
      <c r="E583" s="6">
        <v>12</v>
      </c>
    </row>
    <row r="584" spans="1:5" x14ac:dyDescent="0.3">
      <c r="A584" s="1">
        <v>6.2572239249053349E-2</v>
      </c>
      <c r="B584" s="1">
        <v>-0.38831965678529423</v>
      </c>
      <c r="C584" s="6">
        <v>52.178470093868327</v>
      </c>
      <c r="D584" s="1">
        <v>-0.61416411264199944</v>
      </c>
      <c r="E584" s="6">
        <v>13</v>
      </c>
    </row>
    <row r="585" spans="1:5" x14ac:dyDescent="0.3">
      <c r="A585" s="1">
        <v>0.44274393374502347</v>
      </c>
      <c r="B585" s="1">
        <v>-0.82527618734545272</v>
      </c>
      <c r="C585" s="6">
        <v>7.1504044169984375</v>
      </c>
      <c r="D585" s="1">
        <v>44.300808833996882</v>
      </c>
      <c r="E585" s="6">
        <v>14</v>
      </c>
    </row>
    <row r="586" spans="1:5" x14ac:dyDescent="0.3">
      <c r="A586" s="1">
        <v>0.98134736807304024</v>
      </c>
      <c r="B586" s="1">
        <v>-0.36292536505919049</v>
      </c>
      <c r="C586" s="6">
        <v>-28.756491204869349</v>
      </c>
      <c r="D586" s="1">
        <v>-27.512982409738697</v>
      </c>
      <c r="E586" s="6">
        <v>15</v>
      </c>
    </row>
    <row r="587" spans="1:5" x14ac:dyDescent="0.3">
      <c r="A587" s="1">
        <v>-0.99837389099683305</v>
      </c>
      <c r="B587" s="1">
        <v>0.42791537106458766</v>
      </c>
      <c r="C587" s="6">
        <v>59.972898183280556</v>
      </c>
      <c r="D587" s="1">
        <v>-9.9457963665611011</v>
      </c>
      <c r="E587" s="6">
        <v>1</v>
      </c>
    </row>
    <row r="588" spans="1:5" x14ac:dyDescent="0.3">
      <c r="A588" s="1">
        <v>-0.44760926162551617</v>
      </c>
      <c r="B588" s="1">
        <v>0.9825617961966463</v>
      </c>
      <c r="C588" s="6">
        <v>50.7934876937586</v>
      </c>
      <c r="D588" s="1">
        <v>8.4130246124827952</v>
      </c>
      <c r="E588" s="6">
        <v>2</v>
      </c>
    </row>
    <row r="589" spans="1:5" x14ac:dyDescent="0.3">
      <c r="A589" s="1">
        <v>4.6040012799975591E-2</v>
      </c>
      <c r="B589" s="1">
        <v>0.93908614587165706</v>
      </c>
      <c r="C589" s="1">
        <v>-19.208002559995116</v>
      </c>
      <c r="D589" s="1">
        <v>63.453000959998164</v>
      </c>
      <c r="E589" s="6">
        <v>3</v>
      </c>
    </row>
    <row r="590" spans="1:5" x14ac:dyDescent="0.3">
      <c r="A590" s="1">
        <v>0.42577341757592085</v>
      </c>
      <c r="B590" s="1">
        <v>0.92548331891340474</v>
      </c>
      <c r="C590" s="1">
        <v>-87.42265824240792</v>
      </c>
      <c r="D590" s="1">
        <v>84.845316484815839</v>
      </c>
      <c r="E590" s="6">
        <v>4</v>
      </c>
    </row>
    <row r="591" spans="1:5" x14ac:dyDescent="0.3">
      <c r="A591" s="1">
        <v>0.99688947041489184</v>
      </c>
      <c r="B591" s="1">
        <v>0.99701316672129592</v>
      </c>
      <c r="C591" s="1">
        <v>-30.311052958510817</v>
      </c>
      <c r="D591" s="1">
        <v>-29.377894082978369</v>
      </c>
      <c r="E591" s="6">
        <v>5</v>
      </c>
    </row>
    <row r="592" spans="1:5" x14ac:dyDescent="0.3">
      <c r="A592" s="1">
        <v>-0.99871702414479857</v>
      </c>
      <c r="B592" s="1">
        <v>3.0789546606520037E-2</v>
      </c>
      <c r="C592" s="1">
        <v>76.82769731060084</v>
      </c>
      <c r="D592" s="1">
        <v>-26.806405436216643</v>
      </c>
      <c r="E592" s="6">
        <v>6</v>
      </c>
    </row>
    <row r="593" spans="1:5" x14ac:dyDescent="0.3">
      <c r="A593" s="1">
        <v>-0.3362126665917311</v>
      </c>
      <c r="B593" s="1">
        <v>-1.7618384946300348E-2</v>
      </c>
      <c r="C593" s="1">
        <v>57.430493955201015</v>
      </c>
      <c r="D593" s="1">
        <v>-6.0746826711617068</v>
      </c>
      <c r="E593" s="6">
        <v>7</v>
      </c>
    </row>
    <row r="594" spans="1:5" x14ac:dyDescent="0.3">
      <c r="A594" s="1">
        <v>-2.4628804148928457E-2</v>
      </c>
      <c r="B594" s="1">
        <v>-8.5291467990844527E-3</v>
      </c>
      <c r="C594" s="1">
        <v>34.845536140202832</v>
      </c>
      <c r="D594" s="1">
        <v>23.801246934255065</v>
      </c>
      <c r="E594" s="6">
        <v>8</v>
      </c>
    </row>
    <row r="595" spans="1:5" x14ac:dyDescent="0.3">
      <c r="A595" s="1">
        <v>0.44247741165938426</v>
      </c>
      <c r="B595" s="1">
        <v>-2.1572232010467526E-2</v>
      </c>
      <c r="C595" s="1">
        <v>-65.295024626642913</v>
      </c>
      <c r="D595" s="1">
        <v>63.522225025994125</v>
      </c>
      <c r="E595" s="6">
        <v>9</v>
      </c>
    </row>
    <row r="596" spans="1:5" x14ac:dyDescent="0.3">
      <c r="A596" s="1">
        <v>0.98711662586389981</v>
      </c>
      <c r="B596" s="1">
        <v>5.7996784906672941E-3</v>
      </c>
      <c r="C596" s="1">
        <v>-32.264695525743356</v>
      </c>
      <c r="D596" s="1">
        <v>-25.264727537082077</v>
      </c>
      <c r="E596" s="6">
        <v>10</v>
      </c>
    </row>
    <row r="597" spans="1:5" x14ac:dyDescent="0.3">
      <c r="A597" s="1">
        <v>-0.95005075801787631</v>
      </c>
      <c r="B597" s="1">
        <v>-0.89802046700860294</v>
      </c>
      <c r="C597" s="1">
        <v>89.167512633631262</v>
      </c>
      <c r="D597" s="1">
        <v>-39.167512633631276</v>
      </c>
      <c r="E597" s="6">
        <v>11</v>
      </c>
    </row>
    <row r="598" spans="1:5" x14ac:dyDescent="0.3">
      <c r="A598" s="1">
        <v>-0.49624281376124701</v>
      </c>
      <c r="B598" s="1">
        <v>-0.33358596204610769</v>
      </c>
      <c r="C598" s="1">
        <v>81.604046896020776</v>
      </c>
      <c r="D598" s="1">
        <v>-31.604046896020783</v>
      </c>
      <c r="E598" s="6">
        <v>12</v>
      </c>
    </row>
    <row r="599" spans="1:5" x14ac:dyDescent="0.3">
      <c r="A599" s="1">
        <v>-2.6711654628410846E-2</v>
      </c>
      <c r="B599" s="1">
        <v>-0.70602770825979888</v>
      </c>
      <c r="C599" s="1">
        <v>61.335582731420544</v>
      </c>
      <c r="D599" s="1">
        <v>-11.335582731420542</v>
      </c>
      <c r="E599" s="6">
        <v>13</v>
      </c>
    </row>
    <row r="600" spans="1:5" x14ac:dyDescent="0.3">
      <c r="A600" s="1">
        <v>0.3657147959150685</v>
      </c>
      <c r="B600" s="1">
        <v>-0.16635215202757714</v>
      </c>
      <c r="C600" s="1">
        <v>2.1961603094548656</v>
      </c>
      <c r="D600" s="1">
        <v>48.454991105228508</v>
      </c>
      <c r="E600" s="6">
        <v>14</v>
      </c>
    </row>
    <row r="601" spans="1:5" x14ac:dyDescent="0.3">
      <c r="A601" s="1">
        <v>0.90224062151707152</v>
      </c>
      <c r="B601" s="1">
        <v>-0.23587951449702982</v>
      </c>
      <c r="C601" s="1">
        <v>-23.482708101138101</v>
      </c>
      <c r="D601" s="1">
        <v>-16.965416202276202</v>
      </c>
      <c r="E601" s="6">
        <v>15</v>
      </c>
    </row>
    <row r="602" spans="1:5" x14ac:dyDescent="0.3">
      <c r="A602" s="1">
        <v>-0.99038555125312</v>
      </c>
      <c r="B602" s="1">
        <v>0.99849936248461868</v>
      </c>
      <c r="C602" s="1">
        <v>59.839759187552005</v>
      </c>
      <c r="D602" s="1">
        <v>-9.6795183751039993</v>
      </c>
      <c r="E602" s="6">
        <v>1</v>
      </c>
    </row>
    <row r="603" spans="1:5" x14ac:dyDescent="0.3">
      <c r="A603" s="1">
        <v>-0.4566062646274669</v>
      </c>
      <c r="B603" s="1">
        <v>0.25438952961070666</v>
      </c>
      <c r="C603" s="1">
        <v>50.943437743791108</v>
      </c>
      <c r="D603" s="1">
        <v>8.1131245124177696</v>
      </c>
      <c r="E603" s="6">
        <v>2</v>
      </c>
    </row>
    <row r="604" spans="1:5" x14ac:dyDescent="0.3">
      <c r="A604" s="1">
        <v>-5.1308987990538582E-2</v>
      </c>
      <c r="B604" s="1">
        <v>0.94149924366265203</v>
      </c>
      <c r="C604" s="1">
        <v>-2.3036518014192122</v>
      </c>
      <c r="D604" s="1">
        <v>53.586376501182677</v>
      </c>
      <c r="E604" s="6">
        <v>3</v>
      </c>
    </row>
    <row r="605" spans="1:5" x14ac:dyDescent="0.3">
      <c r="A605" s="1">
        <v>0.46488990811040576</v>
      </c>
      <c r="B605" s="1">
        <v>0.83099580076066959</v>
      </c>
      <c r="C605" s="1">
        <v>-83.51100918895942</v>
      </c>
      <c r="D605" s="1">
        <v>77.022018377918855</v>
      </c>
      <c r="E605" s="6">
        <v>4</v>
      </c>
    </row>
    <row r="606" spans="1:5" x14ac:dyDescent="0.3">
      <c r="A606" s="1">
        <v>0.89788518836458309</v>
      </c>
      <c r="B606" s="1">
        <v>0.4332643807551505</v>
      </c>
      <c r="C606" s="1">
        <v>-40.211481163541691</v>
      </c>
      <c r="D606" s="1">
        <v>-9.5770376729166173</v>
      </c>
      <c r="E606" s="6">
        <v>5</v>
      </c>
    </row>
    <row r="607" spans="1:5" x14ac:dyDescent="0.3">
      <c r="A607" s="1">
        <v>-0.94943154525805273</v>
      </c>
      <c r="B607" s="1">
        <v>3.3145017626593699E-2</v>
      </c>
      <c r="C607" s="1">
        <v>73.557429749322395</v>
      </c>
      <c r="D607" s="1">
        <v>-22.836194651612715</v>
      </c>
      <c r="E607" s="6">
        <v>6</v>
      </c>
    </row>
    <row r="608" spans="1:5" x14ac:dyDescent="0.3">
      <c r="A608" s="1">
        <v>-0.44380986558676183</v>
      </c>
      <c r="B608" s="1">
        <v>7.8010616618088835E-3</v>
      </c>
      <c r="C608" s="1">
        <v>60.99282488808808</v>
      </c>
      <c r="D608" s="1">
        <v>-10.630998133251371</v>
      </c>
      <c r="E608" s="6">
        <v>7</v>
      </c>
    </row>
    <row r="609" spans="1:5" x14ac:dyDescent="0.3">
      <c r="A609" s="1">
        <v>5.7657823282318513E-2</v>
      </c>
      <c r="B609" s="1">
        <v>2.0295041778984196E-3</v>
      </c>
      <c r="C609" s="1">
        <v>12.868186133219764</v>
      </c>
      <c r="D609" s="1">
        <v>37.958977019221038</v>
      </c>
      <c r="E609" s="6">
        <v>8</v>
      </c>
    </row>
    <row r="610" spans="1:5" x14ac:dyDescent="0.3">
      <c r="A610" s="1">
        <v>0.3530491593656957</v>
      </c>
      <c r="B610" s="1">
        <v>-4.6107303458831073E-3</v>
      </c>
      <c r="C610" s="1">
        <v>-62.588955251552704</v>
      </c>
      <c r="D610" s="1">
        <v>71.745308288866426</v>
      </c>
      <c r="E610" s="6">
        <v>9</v>
      </c>
    </row>
    <row r="611" spans="1:5" x14ac:dyDescent="0.3">
      <c r="A611" s="1">
        <v>0.93134760157179186</v>
      </c>
      <c r="B611" s="1">
        <v>-2.6743662930447779E-2</v>
      </c>
      <c r="C611" s="1">
        <v>-30.931126431306506</v>
      </c>
      <c r="D611" s="1">
        <v>-12.308597805176433</v>
      </c>
      <c r="E611" s="6">
        <v>10</v>
      </c>
    </row>
    <row r="612" spans="1:5" x14ac:dyDescent="0.3">
      <c r="A612" s="1">
        <v>-0.9080825066174083</v>
      </c>
      <c r="B612" s="1">
        <v>-0.88155119682177052</v>
      </c>
      <c r="C612" s="1">
        <v>88.468041776956795</v>
      </c>
      <c r="D612" s="1">
        <v>-38.468041776956809</v>
      </c>
      <c r="E612" s="6">
        <v>11</v>
      </c>
    </row>
    <row r="613" spans="1:5" x14ac:dyDescent="0.3">
      <c r="A613" s="1">
        <v>-0.33456217009087552</v>
      </c>
      <c r="B613" s="1">
        <v>-0.34933968183352337</v>
      </c>
      <c r="C613" s="1">
        <v>76.728108504543783</v>
      </c>
      <c r="D613" s="1">
        <v>-26.728108504543773</v>
      </c>
      <c r="E613" s="6">
        <v>12</v>
      </c>
    </row>
    <row r="614" spans="1:5" x14ac:dyDescent="0.3">
      <c r="A614" s="1">
        <v>2.0341583834980248E-2</v>
      </c>
      <c r="B614" s="1">
        <v>-0.28489880324620831</v>
      </c>
      <c r="C614" s="1">
        <v>57.457302020627473</v>
      </c>
      <c r="D614" s="1">
        <v>-6.9487624247529629</v>
      </c>
      <c r="E614" s="6">
        <v>13</v>
      </c>
    </row>
    <row r="615" spans="1:5" x14ac:dyDescent="0.3">
      <c r="A615" s="1">
        <v>0.3438392215431047</v>
      </c>
      <c r="B615" s="1">
        <v>-0.2279120029591204</v>
      </c>
      <c r="C615" s="1">
        <v>17.020097307111918</v>
      </c>
      <c r="D615" s="1">
        <v>41.575883231465696</v>
      </c>
      <c r="E615" s="6">
        <v>14</v>
      </c>
    </row>
    <row r="616" spans="1:5" x14ac:dyDescent="0.3">
      <c r="A616" s="1">
        <v>0.94627612026471686</v>
      </c>
      <c r="B616" s="1">
        <v>-0.86081365385460207</v>
      </c>
      <c r="C616" s="1">
        <v>-26.418408017647792</v>
      </c>
      <c r="D616" s="1">
        <v>-22.836816035295584</v>
      </c>
      <c r="E616" s="6">
        <v>15</v>
      </c>
    </row>
    <row r="617" spans="1:5" x14ac:dyDescent="0.3">
      <c r="A617" s="1">
        <v>-0.97347507188570637</v>
      </c>
      <c r="B617" s="1">
        <v>0.30049240537587207</v>
      </c>
      <c r="C617" s="1">
        <v>59.55791786476177</v>
      </c>
      <c r="D617" s="1">
        <v>-9.1158357295235461</v>
      </c>
      <c r="E617" s="6">
        <v>1</v>
      </c>
    </row>
    <row r="618" spans="1:5" x14ac:dyDescent="0.3">
      <c r="A618" s="1">
        <v>-0.33103583087000887</v>
      </c>
      <c r="B618" s="1">
        <v>0.53824855276226036</v>
      </c>
      <c r="C618" s="1">
        <v>39.655374630501328</v>
      </c>
      <c r="D618" s="1">
        <v>18.620521141248894</v>
      </c>
      <c r="E618" s="6">
        <v>2</v>
      </c>
    </row>
    <row r="619" spans="1:5" x14ac:dyDescent="0.3">
      <c r="A619" s="1">
        <v>-7.1779165008002813E-2</v>
      </c>
      <c r="B619" s="1">
        <v>0.90369931896706079</v>
      </c>
      <c r="C619" s="1">
        <v>0.76687475120042059</v>
      </c>
      <c r="D619" s="1">
        <v>51.027604373999651</v>
      </c>
      <c r="E619" s="6">
        <v>3</v>
      </c>
    </row>
    <row r="620" spans="1:5" x14ac:dyDescent="0.3">
      <c r="A620" s="1">
        <v>0.38463206828210139</v>
      </c>
      <c r="B620" s="1">
        <v>0.20662397683412173</v>
      </c>
      <c r="C620" s="1">
        <v>-86.926413656420266</v>
      </c>
      <c r="D620" s="1">
        <v>88.847405121157607</v>
      </c>
      <c r="E620" s="6">
        <v>4</v>
      </c>
    </row>
    <row r="621" spans="1:5" x14ac:dyDescent="0.3">
      <c r="A621" s="1">
        <v>0.90582415610309819</v>
      </c>
      <c r="B621" s="1">
        <v>0.38691890386342054</v>
      </c>
      <c r="C621" s="1">
        <v>-39.417584389690177</v>
      </c>
      <c r="D621" s="1">
        <v>-11.164831220619636</v>
      </c>
      <c r="E621" s="6">
        <v>5</v>
      </c>
    </row>
    <row r="622" spans="1:5" x14ac:dyDescent="0.3">
      <c r="A622" s="1">
        <v>-0.91211594899040793</v>
      </c>
      <c r="B622" s="1">
        <v>1.5328300500277149E-2</v>
      </c>
      <c r="C622" s="1">
        <v>74.137134196268306</v>
      </c>
      <c r="D622" s="1">
        <v>-23.472583499094004</v>
      </c>
      <c r="E622" s="6">
        <v>6</v>
      </c>
    </row>
    <row r="623" spans="1:5" x14ac:dyDescent="0.3">
      <c r="A623" s="1">
        <v>-0.41961517884535482</v>
      </c>
      <c r="B623" s="1">
        <v>1.0922612906683407E-2</v>
      </c>
      <c r="C623" s="1">
        <v>60.101098436469847</v>
      </c>
      <c r="D623" s="1">
        <v>-9.5884845043276457</v>
      </c>
      <c r="E623" s="6">
        <v>7</v>
      </c>
    </row>
    <row r="624" spans="1:5" x14ac:dyDescent="0.3">
      <c r="A624" s="1">
        <v>3.3749621187667639E-2</v>
      </c>
      <c r="B624" s="1">
        <v>-3.7836219018647761E-2</v>
      </c>
      <c r="C624" s="1">
        <v>25.471056589268105</v>
      </c>
      <c r="D624" s="1">
        <v>28.578769807242494</v>
      </c>
      <c r="E624" s="6">
        <v>8</v>
      </c>
    </row>
    <row r="625" spans="1:5" x14ac:dyDescent="0.3">
      <c r="A625" s="1">
        <v>0.37514986116980542</v>
      </c>
      <c r="B625" s="1">
        <v>3.6286589287170788E-2</v>
      </c>
      <c r="C625" s="1">
        <v>-71.667131665590048</v>
      </c>
      <c r="D625" s="1">
        <v>77.745658647033764</v>
      </c>
      <c r="E625" s="6">
        <v>9</v>
      </c>
    </row>
    <row r="626" spans="1:5" x14ac:dyDescent="0.3">
      <c r="A626" s="1">
        <v>0.92002504049260703</v>
      </c>
      <c r="B626" s="1">
        <v>1.1236505476075437E-2</v>
      </c>
      <c r="C626" s="1">
        <v>-39.021796899157778</v>
      </c>
      <c r="D626" s="1">
        <v>-10.758134118176244</v>
      </c>
      <c r="E626" s="6">
        <v>10</v>
      </c>
    </row>
    <row r="627" spans="1:5" x14ac:dyDescent="0.3">
      <c r="A627" s="1">
        <v>-0.92518524251398759</v>
      </c>
      <c r="B627" s="1">
        <v>-0.43553701765796815</v>
      </c>
      <c r="C627" s="1">
        <v>88.753087375233122</v>
      </c>
      <c r="D627" s="1">
        <v>-38.753087375233122</v>
      </c>
      <c r="E627" s="6">
        <v>11</v>
      </c>
    </row>
    <row r="628" spans="1:5" x14ac:dyDescent="0.3">
      <c r="A628" s="1">
        <v>-0.33492778318873628</v>
      </c>
      <c r="B628" s="1">
        <v>-0.53060987458820952</v>
      </c>
      <c r="C628" s="1">
        <v>76.746389159436816</v>
      </c>
      <c r="D628" s="1">
        <v>-26.746389159436816</v>
      </c>
      <c r="E628" s="6">
        <v>12</v>
      </c>
    </row>
    <row r="629" spans="1:5" x14ac:dyDescent="0.3">
      <c r="A629" s="1">
        <v>-4.7704477287322099E-2</v>
      </c>
      <c r="B629" s="1">
        <v>-0.61347455267925821</v>
      </c>
      <c r="C629" s="1">
        <v>62.385223864366111</v>
      </c>
      <c r="D629" s="1">
        <v>-12.385223864366106</v>
      </c>
      <c r="E629" s="6">
        <v>13</v>
      </c>
    </row>
    <row r="630" spans="1:5" x14ac:dyDescent="0.3">
      <c r="A630" s="1">
        <v>0.44498684491459506</v>
      </c>
      <c r="B630" s="1">
        <v>-0.50685217792013604</v>
      </c>
      <c r="C630" s="1">
        <v>7.0008770056936651</v>
      </c>
      <c r="D630" s="1">
        <v>44.001754011387334</v>
      </c>
      <c r="E630" s="6">
        <v>14</v>
      </c>
    </row>
    <row r="631" spans="1:5" x14ac:dyDescent="0.3">
      <c r="A631" s="1">
        <v>0.98214372064564082</v>
      </c>
      <c r="B631" s="1">
        <v>-0.89550036985767045</v>
      </c>
      <c r="C631" s="1">
        <v>-28.809581376376055</v>
      </c>
      <c r="D631" s="1">
        <v>-27.619162752752107</v>
      </c>
      <c r="E631" s="6">
        <v>15</v>
      </c>
    </row>
    <row r="632" spans="1:5" x14ac:dyDescent="0.3">
      <c r="A632" s="1">
        <v>-0.98474587940831548</v>
      </c>
      <c r="B632" s="1">
        <v>0.7647364400866874</v>
      </c>
      <c r="C632" s="1">
        <v>59.745764656805257</v>
      </c>
      <c r="D632" s="1">
        <v>-9.491529313610517</v>
      </c>
      <c r="E632" s="6">
        <v>1</v>
      </c>
    </row>
    <row r="633" spans="1:5" x14ac:dyDescent="0.3">
      <c r="A633" s="1">
        <v>-0.43760997569286952</v>
      </c>
      <c r="B633" s="1">
        <v>0.66566087525128081</v>
      </c>
      <c r="C633" s="1">
        <v>50.62683292821449</v>
      </c>
      <c r="D633" s="1">
        <v>8.7463341435710173</v>
      </c>
      <c r="E633" s="6">
        <v>2</v>
      </c>
    </row>
    <row r="634" spans="1:5" x14ac:dyDescent="0.3">
      <c r="A634" s="1">
        <v>2.4895196277121223E-2</v>
      </c>
      <c r="B634" s="1">
        <v>0.49276441764313816</v>
      </c>
      <c r="C634" s="1">
        <v>-14.979039255424246</v>
      </c>
      <c r="D634" s="1">
        <v>61.867139720784095</v>
      </c>
      <c r="E634" s="6">
        <v>3</v>
      </c>
    </row>
    <row r="635" spans="1:5" x14ac:dyDescent="0.3">
      <c r="A635" s="1">
        <v>0.36796531396348703</v>
      </c>
      <c r="B635" s="1">
        <v>0.69485878297287962</v>
      </c>
      <c r="C635" s="1">
        <v>-83.593062792697395</v>
      </c>
      <c r="D635" s="1">
        <v>87.59739854726152</v>
      </c>
      <c r="E635" s="6">
        <v>4</v>
      </c>
    </row>
    <row r="636" spans="1:5" x14ac:dyDescent="0.3">
      <c r="A636" s="1">
        <v>0.91726875331146296</v>
      </c>
      <c r="B636" s="1">
        <v>0.77309146918830929</v>
      </c>
      <c r="C636" s="1">
        <v>-38.273124668853704</v>
      </c>
      <c r="D636" s="1">
        <v>-13.45375066229259</v>
      </c>
      <c r="E636" s="6">
        <v>5</v>
      </c>
    </row>
    <row r="637" spans="1:5" x14ac:dyDescent="0.3">
      <c r="A637" s="1">
        <v>-0.89140523235883329</v>
      </c>
      <c r="B637" s="1">
        <v>3.9010452245039857E-2</v>
      </c>
      <c r="C637" s="1">
        <v>70.49135459856798</v>
      </c>
      <c r="D637" s="1">
        <v>-19.162473562375467</v>
      </c>
      <c r="E637" s="6">
        <v>6</v>
      </c>
    </row>
    <row r="638" spans="1:5" x14ac:dyDescent="0.3">
      <c r="A638" s="1">
        <v>-0.47598969070859964</v>
      </c>
      <c r="B638" s="1">
        <v>3.6267997582896401E-2</v>
      </c>
      <c r="C638" s="1">
        <v>60.574156549174795</v>
      </c>
      <c r="D638" s="1">
        <v>-9.1272552718600632</v>
      </c>
      <c r="E638" s="6">
        <v>7</v>
      </c>
    </row>
    <row r="639" spans="1:5" x14ac:dyDescent="0.3">
      <c r="A639" s="1">
        <v>-8.7760497476621901E-3</v>
      </c>
      <c r="B639" s="1">
        <v>2.2449285639103492E-2</v>
      </c>
      <c r="C639" s="1">
        <v>26.749769991851363</v>
      </c>
      <c r="D639" s="1">
        <v>31.964770754303593</v>
      </c>
      <c r="E639" s="6">
        <v>8</v>
      </c>
    </row>
    <row r="640" spans="1:5" x14ac:dyDescent="0.3">
      <c r="A640" s="1">
        <v>0.41917703079256569</v>
      </c>
      <c r="B640" s="1">
        <v>-2.351907916461193E-2</v>
      </c>
      <c r="C640" s="1">
        <v>-67.048168169915883</v>
      </c>
      <c r="D640" s="1">
        <v>70.075000253860537</v>
      </c>
      <c r="E640" s="6">
        <v>9</v>
      </c>
    </row>
    <row r="641" spans="1:5" x14ac:dyDescent="0.3">
      <c r="A641" s="1">
        <v>0.99777407068741275</v>
      </c>
      <c r="B641" s="1">
        <v>-8.8920943611278773E-3</v>
      </c>
      <c r="C641" s="1">
        <v>-30.03682558471489</v>
      </c>
      <c r="D641" s="1">
        <v>-29.30031389041714</v>
      </c>
      <c r="E641" s="6">
        <v>10</v>
      </c>
    </row>
    <row r="642" spans="1:5" x14ac:dyDescent="0.3">
      <c r="A642" s="1">
        <v>-0.98645766052525574</v>
      </c>
      <c r="B642" s="1">
        <v>-0.27392597519368755</v>
      </c>
      <c r="C642" s="1">
        <v>89.7742943420876</v>
      </c>
      <c r="D642" s="1">
        <v>-39.7742943420876</v>
      </c>
      <c r="E642" s="6">
        <v>11</v>
      </c>
    </row>
    <row r="643" spans="1:5" x14ac:dyDescent="0.3">
      <c r="A643" s="1">
        <v>-0.43437353514211224</v>
      </c>
      <c r="B643" s="1">
        <v>-0.28128014993434658</v>
      </c>
      <c r="C643" s="1">
        <v>80.572892252368533</v>
      </c>
      <c r="D643" s="1">
        <v>-30.572892252368536</v>
      </c>
      <c r="E643" s="6">
        <v>12</v>
      </c>
    </row>
    <row r="644" spans="1:5" x14ac:dyDescent="0.3">
      <c r="A644" s="1">
        <v>-2.3271792925879352E-2</v>
      </c>
      <c r="B644" s="1">
        <v>-0.2540830230312533</v>
      </c>
      <c r="C644" s="1">
        <v>61.163589646293971</v>
      </c>
      <c r="D644" s="1">
        <v>-11.163589646293969</v>
      </c>
      <c r="E644" s="6">
        <v>13</v>
      </c>
    </row>
    <row r="645" spans="1:5" x14ac:dyDescent="0.3">
      <c r="A645" s="1">
        <v>0.48679221633340886</v>
      </c>
      <c r="B645" s="1">
        <v>-0.66929711875572906</v>
      </c>
      <c r="C645" s="1">
        <v>4.2138522444394102</v>
      </c>
      <c r="D645" s="1">
        <v>38.427704488878817</v>
      </c>
      <c r="E645" s="6">
        <v>14</v>
      </c>
    </row>
    <row r="646" spans="1:5" x14ac:dyDescent="0.3">
      <c r="A646" s="1">
        <v>0.99681432503498402</v>
      </c>
      <c r="B646" s="1">
        <v>-0.59637045333217831</v>
      </c>
      <c r="C646" s="1">
        <v>-29.787621668998938</v>
      </c>
      <c r="D646" s="1">
        <v>-29.575243337997872</v>
      </c>
      <c r="E646" s="6">
        <v>15</v>
      </c>
    </row>
    <row r="647" spans="1:5" x14ac:dyDescent="0.3">
      <c r="A647" s="1">
        <v>-0.9739134920477317</v>
      </c>
      <c r="B647" s="1">
        <v>0.92773175661535801</v>
      </c>
      <c r="C647" s="1">
        <v>59.565224867462199</v>
      </c>
      <c r="D647" s="1">
        <v>-9.1304497349243903</v>
      </c>
      <c r="E647" s="6">
        <v>1</v>
      </c>
    </row>
    <row r="648" spans="1:5" x14ac:dyDescent="0.3">
      <c r="A648" s="1">
        <v>-0.45834578676592186</v>
      </c>
      <c r="B648" s="1">
        <v>0.61154300562186437</v>
      </c>
      <c r="C648" s="1">
        <v>50.972429779432034</v>
      </c>
      <c r="D648" s="1">
        <v>8.05514044113594</v>
      </c>
      <c r="E648" s="6">
        <v>2</v>
      </c>
    </row>
    <row r="649" spans="1:5" x14ac:dyDescent="0.3">
      <c r="A649" s="1">
        <v>5.5925076473886948E-3</v>
      </c>
      <c r="B649" s="1">
        <v>0.31620864656648906</v>
      </c>
      <c r="C649" s="6">
        <v>-11.118501529477738</v>
      </c>
      <c r="D649" s="1">
        <v>60.419438073554147</v>
      </c>
      <c r="E649" s="6">
        <v>3</v>
      </c>
    </row>
    <row r="650" spans="1:5" x14ac:dyDescent="0.3">
      <c r="A650" s="1">
        <v>0.41028305405206633</v>
      </c>
      <c r="B650" s="1">
        <v>0.71345885702176526</v>
      </c>
      <c r="C650" s="6">
        <v>-88.971694594793362</v>
      </c>
      <c r="D650" s="1">
        <v>87.943389189586739</v>
      </c>
      <c r="E650" s="6">
        <v>4</v>
      </c>
    </row>
    <row r="651" spans="1:5" x14ac:dyDescent="0.3">
      <c r="A651" s="1">
        <v>0.9068354363231923</v>
      </c>
      <c r="B651" s="1">
        <v>0.95811419730466618</v>
      </c>
      <c r="C651" s="6">
        <v>-39.316456367680772</v>
      </c>
      <c r="D651" s="1">
        <v>-11.367087264638458</v>
      </c>
      <c r="E651" s="6">
        <v>5</v>
      </c>
    </row>
    <row r="652" spans="1:5" x14ac:dyDescent="0.3">
      <c r="A652" s="1">
        <v>-0.96596237388139294</v>
      </c>
      <c r="B652" s="1">
        <v>-3.1984615833050629E-2</v>
      </c>
      <c r="C652" s="6">
        <v>80.417297230642504</v>
      </c>
      <c r="D652" s="1">
        <v>-30.417297230642497</v>
      </c>
      <c r="E652" s="6">
        <v>6</v>
      </c>
    </row>
    <row r="653" spans="1:5" x14ac:dyDescent="0.3">
      <c r="A653" s="1">
        <v>-0.41418421858394394</v>
      </c>
      <c r="B653" s="1">
        <v>3.5541056510996434E-2</v>
      </c>
      <c r="C653" s="6">
        <v>58.754636169859161</v>
      </c>
      <c r="D653" s="1">
        <v>-7.0578104983860781</v>
      </c>
      <c r="E653" s="6">
        <v>7</v>
      </c>
    </row>
    <row r="654" spans="1:5" x14ac:dyDescent="0.3">
      <c r="A654" s="1">
        <v>-7.1095940357282214E-2</v>
      </c>
      <c r="B654" s="1">
        <v>-2.5959743366356113E-2</v>
      </c>
      <c r="C654" s="6">
        <v>42.477075971509478</v>
      </c>
      <c r="D654" s="1">
        <v>14.05088389194656</v>
      </c>
      <c r="E654" s="6">
        <v>8</v>
      </c>
    </row>
    <row r="655" spans="1:5" x14ac:dyDescent="0.3">
      <c r="A655" s="1">
        <v>0.51828695199359531</v>
      </c>
      <c r="B655" s="1">
        <v>3.3365891156138285E-2</v>
      </c>
      <c r="C655" s="6">
        <v>-67.605208432686211</v>
      </c>
      <c r="D655" s="1">
        <v>51.230359993639972</v>
      </c>
      <c r="E655" s="6">
        <v>9</v>
      </c>
    </row>
    <row r="656" spans="1:5" x14ac:dyDescent="0.3">
      <c r="A656" s="1">
        <v>0.96325561895383915</v>
      </c>
      <c r="B656" s="1">
        <v>-2.8207261551126274E-2</v>
      </c>
      <c r="C656" s="6">
        <v>-30.545582689932449</v>
      </c>
      <c r="D656" s="1">
        <v>-19.633928891283347</v>
      </c>
      <c r="E656" s="6">
        <v>10</v>
      </c>
    </row>
    <row r="657" spans="1:5" x14ac:dyDescent="0.3">
      <c r="A657" s="1">
        <v>-0.98902983276185519</v>
      </c>
      <c r="B657" s="1">
        <v>-0.41498508081945318</v>
      </c>
      <c r="C657" s="6">
        <v>89.817163879364259</v>
      </c>
      <c r="D657" s="1">
        <v>-39.817163879364251</v>
      </c>
      <c r="E657" s="6">
        <v>11</v>
      </c>
    </row>
    <row r="658" spans="1:5" x14ac:dyDescent="0.3">
      <c r="A658" s="1">
        <v>-0.39883725305206297</v>
      </c>
      <c r="B658" s="1">
        <v>-0.77563074816330668</v>
      </c>
      <c r="C658" s="6">
        <v>79.941862652603149</v>
      </c>
      <c r="D658" s="1">
        <v>-29.941862652603149</v>
      </c>
      <c r="E658" s="6">
        <v>12</v>
      </c>
    </row>
    <row r="659" spans="1:5" x14ac:dyDescent="0.3">
      <c r="A659" s="1">
        <v>4.8029833666794766E-2</v>
      </c>
      <c r="B659" s="1">
        <v>-0.31019744331841759</v>
      </c>
      <c r="C659" s="6">
        <v>53.996270791650659</v>
      </c>
      <c r="D659" s="1">
        <v>-2.795524949980785</v>
      </c>
      <c r="E659" s="6">
        <v>13</v>
      </c>
    </row>
    <row r="660" spans="1:5" x14ac:dyDescent="0.3">
      <c r="A660" s="1">
        <v>0.41719979505388249</v>
      </c>
      <c r="B660" s="1">
        <v>-0.97366977334715599</v>
      </c>
      <c r="C660" s="6">
        <v>8.8533469964078346</v>
      </c>
      <c r="D660" s="1">
        <v>47.706693992815666</v>
      </c>
      <c r="E660" s="6">
        <v>14</v>
      </c>
    </row>
    <row r="661" spans="1:5" x14ac:dyDescent="0.3">
      <c r="A661" s="1">
        <v>0.99938742979920314</v>
      </c>
      <c r="B661" s="1">
        <v>-0.48999060300826613</v>
      </c>
      <c r="C661" s="6">
        <v>-29.959161986613541</v>
      </c>
      <c r="D661" s="1">
        <v>-29.918323973227086</v>
      </c>
      <c r="E661" s="6">
        <v>15</v>
      </c>
    </row>
    <row r="662" spans="1:5" x14ac:dyDescent="0.3">
      <c r="A662" s="1">
        <v>-0.98568975877456588</v>
      </c>
      <c r="B662" s="1">
        <v>0.79627180158937128</v>
      </c>
      <c r="C662" s="6">
        <v>59.761495979576097</v>
      </c>
      <c r="D662" s="1">
        <v>-9.522991959152197</v>
      </c>
      <c r="E662" s="6">
        <v>1</v>
      </c>
    </row>
    <row r="663" spans="1:5" x14ac:dyDescent="0.3">
      <c r="A663" s="1">
        <v>-0.38622675912977655</v>
      </c>
      <c r="B663" s="1">
        <v>0.77462956885393552</v>
      </c>
      <c r="C663" s="6">
        <v>47.934013869466483</v>
      </c>
      <c r="D663" s="1">
        <v>11.721655108777934</v>
      </c>
      <c r="E663" s="6">
        <v>2</v>
      </c>
    </row>
    <row r="664" spans="1:5" x14ac:dyDescent="0.3">
      <c r="A664" s="1">
        <v>-4.1049586356452922E-3</v>
      </c>
      <c r="B664" s="1">
        <v>0.75219896487644311</v>
      </c>
      <c r="C664" s="1">
        <v>-9.384256204653207</v>
      </c>
      <c r="D664" s="1">
        <v>59.486880170544339</v>
      </c>
      <c r="E664" s="6">
        <v>3</v>
      </c>
    </row>
    <row r="665" spans="1:5" x14ac:dyDescent="0.3">
      <c r="A665" s="1">
        <v>0.49863553760606699</v>
      </c>
      <c r="B665" s="1">
        <v>0.83093445991639525</v>
      </c>
      <c r="C665" s="1">
        <v>-80.136446239393294</v>
      </c>
      <c r="D665" s="1">
        <v>70.272892478786602</v>
      </c>
      <c r="E665" s="6">
        <v>4</v>
      </c>
    </row>
    <row r="666" spans="1:5" x14ac:dyDescent="0.3">
      <c r="A666" s="1">
        <v>0.95418827754762903</v>
      </c>
      <c r="B666" s="1">
        <v>0.58827381999678496</v>
      </c>
      <c r="C666" s="1">
        <v>-34.581172245237099</v>
      </c>
      <c r="D666" s="1">
        <v>-20.837655509525803</v>
      </c>
      <c r="E666" s="6">
        <v>5</v>
      </c>
    </row>
    <row r="667" spans="1:5" x14ac:dyDescent="0.3">
      <c r="A667" s="1">
        <v>-0.96353575906180655</v>
      </c>
      <c r="B667" s="1">
        <v>-2.2374420781502698E-2</v>
      </c>
      <c r="C667" s="1">
        <v>79.913731998448156</v>
      </c>
      <c r="D667" s="1">
        <v>-29.91373199844816</v>
      </c>
      <c r="E667" s="6">
        <v>6</v>
      </c>
    </row>
    <row r="668" spans="1:5" x14ac:dyDescent="0.3">
      <c r="A668" s="1">
        <v>-0.42201753489677496</v>
      </c>
      <c r="B668" s="1">
        <v>3.1773720883120339E-2</v>
      </c>
      <c r="C668" s="1">
        <v>59.20367546332141</v>
      </c>
      <c r="D668" s="1">
        <v>-7.723613784693927</v>
      </c>
      <c r="E668" s="6">
        <v>7</v>
      </c>
    </row>
    <row r="669" spans="1:5" x14ac:dyDescent="0.3">
      <c r="A669" s="1">
        <v>1.2113042960547021E-2</v>
      </c>
      <c r="B669" s="1">
        <v>3.7153774037586663E-2</v>
      </c>
      <c r="C669" s="1">
        <v>16.426337287981411</v>
      </c>
      <c r="D669" s="1">
        <v>38.395667513425479</v>
      </c>
      <c r="E669" s="6">
        <v>8</v>
      </c>
    </row>
    <row r="670" spans="1:5" x14ac:dyDescent="0.3">
      <c r="A670" s="1">
        <v>0.50549467756359645</v>
      </c>
      <c r="B670" s="1">
        <v>1.2008099166270901E-2</v>
      </c>
      <c r="C670" s="1">
        <v>-70.007112836600655</v>
      </c>
      <c r="D670" s="1">
        <v>57.3724037293306</v>
      </c>
      <c r="E670" s="6">
        <v>9</v>
      </c>
    </row>
    <row r="671" spans="1:5" x14ac:dyDescent="0.3">
      <c r="A671" s="1">
        <v>0.98883432346268629</v>
      </c>
      <c r="B671" s="1">
        <v>1.9643186040636536E-2</v>
      </c>
      <c r="C671" s="1">
        <v>-31.9735859571215</v>
      </c>
      <c r="D671" s="1">
        <v>-25.87341118056413</v>
      </c>
      <c r="E671" s="6">
        <v>10</v>
      </c>
    </row>
    <row r="672" spans="1:5" x14ac:dyDescent="0.3">
      <c r="A672" s="1">
        <v>-0.91090104572141439</v>
      </c>
      <c r="B672" s="1">
        <v>-0.63723573887322993</v>
      </c>
      <c r="C672" s="1">
        <v>88.515017428690243</v>
      </c>
      <c r="D672" s="1">
        <v>-38.515017428690243</v>
      </c>
      <c r="E672" s="6">
        <v>11</v>
      </c>
    </row>
    <row r="673" spans="1:5" x14ac:dyDescent="0.3">
      <c r="A673" s="1">
        <v>-0.44603480059263323</v>
      </c>
      <c r="B673" s="1">
        <v>-0.27604809832630073</v>
      </c>
      <c r="C673" s="1">
        <v>80.767246676543877</v>
      </c>
      <c r="D673" s="1">
        <v>-30.767246676543888</v>
      </c>
      <c r="E673" s="6">
        <v>12</v>
      </c>
    </row>
    <row r="674" spans="1:5" x14ac:dyDescent="0.3">
      <c r="A674" s="1">
        <v>2.6800795526719448E-2</v>
      </c>
      <c r="B674" s="1">
        <v>-0.58411695687924214</v>
      </c>
      <c r="C674" s="1">
        <v>56.649900559160073</v>
      </c>
      <c r="D674" s="1">
        <v>-5.9798806709920846</v>
      </c>
      <c r="E674" s="6">
        <v>13</v>
      </c>
    </row>
    <row r="675" spans="1:5" x14ac:dyDescent="0.3">
      <c r="A675" s="1">
        <v>0.35935817933407516</v>
      </c>
      <c r="B675" s="1">
        <v>-0.94584741165895514</v>
      </c>
      <c r="C675" s="1">
        <v>15.080227583240609</v>
      </c>
      <c r="D675" s="1">
        <v>43.903726900111273</v>
      </c>
      <c r="E675" s="6">
        <v>14</v>
      </c>
    </row>
    <row r="676" spans="1:5" x14ac:dyDescent="0.3">
      <c r="A676" s="1">
        <v>0.91333951334156793</v>
      </c>
      <c r="B676" s="1">
        <v>-0.86523231676718615</v>
      </c>
      <c r="C676" s="1">
        <v>-24.222634222771195</v>
      </c>
      <c r="D676" s="1">
        <v>-18.445268445542389</v>
      </c>
      <c r="E676" s="6">
        <v>15</v>
      </c>
    </row>
    <row r="677" spans="1:5" x14ac:dyDescent="0.3">
      <c r="A677" s="1">
        <v>-0.96862045712741818</v>
      </c>
      <c r="B677" s="1">
        <v>0.33804168263062567</v>
      </c>
      <c r="C677" s="1">
        <v>59.477007618790303</v>
      </c>
      <c r="D677" s="1">
        <v>-8.9540152375806059</v>
      </c>
      <c r="E677" s="6">
        <v>1</v>
      </c>
    </row>
    <row r="678" spans="1:5" x14ac:dyDescent="0.3">
      <c r="A678" s="1">
        <v>-0.38552043050468443</v>
      </c>
      <c r="B678" s="1">
        <v>0.52361741191730027</v>
      </c>
      <c r="C678" s="1">
        <v>47.828064575702662</v>
      </c>
      <c r="D678" s="1">
        <v>11.809946186914448</v>
      </c>
      <c r="E678" s="6">
        <v>2</v>
      </c>
    </row>
    <row r="679" spans="1:5" x14ac:dyDescent="0.3">
      <c r="A679" s="1">
        <v>-7.7457923366291925E-2</v>
      </c>
      <c r="B679" s="1">
        <v>0.44858566000273059</v>
      </c>
      <c r="C679" s="1">
        <v>1.6186885049437887</v>
      </c>
      <c r="D679" s="1">
        <v>50.317759579213508</v>
      </c>
      <c r="E679" s="6">
        <v>3</v>
      </c>
    </row>
    <row r="680" spans="1:5" x14ac:dyDescent="0.3">
      <c r="A680" s="1">
        <v>0.33130457544227393</v>
      </c>
      <c r="B680" s="1">
        <v>0.54643367934750786</v>
      </c>
      <c r="C680" s="1">
        <v>-76.26091508845478</v>
      </c>
      <c r="D680" s="1">
        <v>84.847843158170548</v>
      </c>
      <c r="E680" s="6">
        <v>4</v>
      </c>
    </row>
    <row r="681" spans="1:5" x14ac:dyDescent="0.3">
      <c r="A681" s="1">
        <v>0.92081474783648443</v>
      </c>
      <c r="B681" s="1">
        <v>0.38811193270055733</v>
      </c>
      <c r="C681" s="1">
        <v>-37.918525216351561</v>
      </c>
      <c r="D681" s="1">
        <v>-14.162949567296886</v>
      </c>
      <c r="E681" s="6">
        <v>5</v>
      </c>
    </row>
    <row r="682" spans="1:5" x14ac:dyDescent="0.3">
      <c r="A682" s="1">
        <v>-0.99011454199739435</v>
      </c>
      <c r="B682" s="1">
        <v>1.0817608291272422E-2</v>
      </c>
      <c r="C682" s="1">
        <v>78.155238705010476</v>
      </c>
      <c r="D682" s="1">
        <v>-27.995736899628515</v>
      </c>
      <c r="E682" s="6">
        <v>6</v>
      </c>
    </row>
    <row r="683" spans="1:5" x14ac:dyDescent="0.3">
      <c r="A683" s="1">
        <v>-0.34054861372689083</v>
      </c>
      <c r="B683" s="1">
        <v>2.6448353354292221E-2</v>
      </c>
      <c r="C683" s="1">
        <v>48.107243065423738</v>
      </c>
      <c r="D683" s="1">
        <v>4.1139818458036208</v>
      </c>
      <c r="E683" s="6">
        <v>7</v>
      </c>
    </row>
    <row r="684" spans="1:5" x14ac:dyDescent="0.3">
      <c r="A684" s="1">
        <v>2.0129188797526579E-2</v>
      </c>
      <c r="B684" s="1">
        <v>-3.664344970230167E-2</v>
      </c>
      <c r="C684" s="1">
        <v>29.050131507264577</v>
      </c>
      <c r="D684" s="1">
        <v>26.541956183381028</v>
      </c>
      <c r="E684" s="6">
        <v>8</v>
      </c>
    </row>
    <row r="685" spans="1:5" x14ac:dyDescent="0.3">
      <c r="A685" s="1">
        <v>0.43742495881183335</v>
      </c>
      <c r="B685" s="1">
        <v>3.1158781634406114E-2</v>
      </c>
      <c r="C685" s="1">
        <v>-75.839471327139009</v>
      </c>
      <c r="D685" s="1">
        <v>69.184665658296311</v>
      </c>
      <c r="E685" s="6">
        <v>9</v>
      </c>
    </row>
    <row r="686" spans="1:5" x14ac:dyDescent="0.3">
      <c r="A686" s="1">
        <v>0.94605311452385399</v>
      </c>
      <c r="B686" s="1">
        <v>3.9759547606208721E-2</v>
      </c>
      <c r="C686" s="1">
        <v>-38.382836021276411</v>
      </c>
      <c r="D686" s="1">
        <v>-12.472251955512974</v>
      </c>
      <c r="E686" s="6">
        <v>10</v>
      </c>
    </row>
    <row r="687" spans="1:5" x14ac:dyDescent="0.3">
      <c r="A687" s="1">
        <v>-0.92857065069932498</v>
      </c>
      <c r="B687" s="1">
        <v>-0.82991319661577589</v>
      </c>
      <c r="C687" s="1">
        <v>88.80951084498875</v>
      </c>
      <c r="D687" s="1">
        <v>-38.809510844988743</v>
      </c>
      <c r="E687" s="6">
        <v>11</v>
      </c>
    </row>
    <row r="688" spans="1:5" x14ac:dyDescent="0.3">
      <c r="A688" s="1">
        <v>-0.47845869011218978</v>
      </c>
      <c r="B688" s="1">
        <v>-0.90392898402205324</v>
      </c>
      <c r="C688" s="1">
        <v>81.307644835203178</v>
      </c>
      <c r="D688" s="1">
        <v>-31.307644835203163</v>
      </c>
      <c r="E688" s="6">
        <v>12</v>
      </c>
    </row>
    <row r="689" spans="1:5" x14ac:dyDescent="0.3">
      <c r="A689" s="1">
        <v>4.2789280091149906E-2</v>
      </c>
      <c r="B689" s="1">
        <v>-0.35081446641453695</v>
      </c>
      <c r="C689" s="1">
        <v>54.651339988606267</v>
      </c>
      <c r="D689" s="1">
        <v>-3.5816079863275139</v>
      </c>
      <c r="E689" s="6">
        <v>13</v>
      </c>
    </row>
    <row r="690" spans="1:5" x14ac:dyDescent="0.3">
      <c r="A690" s="1">
        <v>0.35300196486994395</v>
      </c>
      <c r="B690" s="1">
        <v>-0.24678151825781336</v>
      </c>
      <c r="C690" s="1">
        <v>15.87475439125701</v>
      </c>
      <c r="D690" s="1">
        <v>42.950294730491592</v>
      </c>
      <c r="E690" s="6">
        <v>14</v>
      </c>
    </row>
    <row r="691" spans="1:5" x14ac:dyDescent="0.3">
      <c r="A691" s="1">
        <v>0.91134260413003521</v>
      </c>
      <c r="B691" s="1">
        <v>-0.6814788173133659</v>
      </c>
      <c r="C691" s="1">
        <v>-24.089506942002345</v>
      </c>
      <c r="D691" s="1">
        <v>-18.179013884004693</v>
      </c>
      <c r="E691" s="6">
        <v>15</v>
      </c>
    </row>
    <row r="692" spans="1:5" x14ac:dyDescent="0.3">
      <c r="A692" s="1">
        <v>-0.99378006757471227</v>
      </c>
      <c r="B692" s="1">
        <v>0.30737299337906093</v>
      </c>
      <c r="C692" s="1">
        <v>59.89633445957854</v>
      </c>
      <c r="D692" s="1">
        <v>-9.7926689191570748</v>
      </c>
      <c r="E692" s="6">
        <v>1</v>
      </c>
    </row>
    <row r="693" spans="1:5" x14ac:dyDescent="0.3">
      <c r="A693" s="1">
        <v>-0.36746631078103248</v>
      </c>
      <c r="B693" s="1">
        <v>0.56447210588971874</v>
      </c>
      <c r="C693" s="1">
        <v>45.119946617154866</v>
      </c>
      <c r="D693" s="1">
        <v>14.066711152370942</v>
      </c>
      <c r="E693" s="6">
        <v>2</v>
      </c>
    </row>
    <row r="694" spans="1:5" x14ac:dyDescent="0.3">
      <c r="A694" s="1">
        <v>2.220650268979224E-2</v>
      </c>
      <c r="B694" s="1">
        <v>0.33618307713836815</v>
      </c>
      <c r="C694" s="1">
        <v>-14.441300537958449</v>
      </c>
      <c r="D694" s="1">
        <v>61.665487701734421</v>
      </c>
      <c r="E694" s="6">
        <v>3</v>
      </c>
    </row>
    <row r="695" spans="1:5" x14ac:dyDescent="0.3">
      <c r="A695" s="1">
        <v>0.36701533872453707</v>
      </c>
      <c r="B695" s="1">
        <v>0.69317679683900757</v>
      </c>
      <c r="C695" s="1">
        <v>-83.403067744907418</v>
      </c>
      <c r="D695" s="1">
        <v>87.526150404340285</v>
      </c>
      <c r="E695" s="6">
        <v>4</v>
      </c>
    </row>
    <row r="696" spans="1:5" x14ac:dyDescent="0.3">
      <c r="A696" s="1">
        <v>0.99291218268352333</v>
      </c>
      <c r="B696" s="1">
        <v>0.75926049309115717</v>
      </c>
      <c r="C696" s="1">
        <v>-30.708781731647665</v>
      </c>
      <c r="D696" s="1">
        <v>-28.582436536704666</v>
      </c>
      <c r="E696" s="6">
        <v>5</v>
      </c>
    </row>
    <row r="697" spans="1:5" x14ac:dyDescent="0.3">
      <c r="A697" s="1">
        <v>-0.95675607004168572</v>
      </c>
      <c r="B697" s="1">
        <v>-2.8822873784404728E-2</v>
      </c>
      <c r="C697" s="1">
        <v>79.999719753770776</v>
      </c>
      <c r="D697" s="1">
        <v>-29.999719753770787</v>
      </c>
      <c r="E697" s="6">
        <v>6</v>
      </c>
    </row>
    <row r="698" spans="1:5" x14ac:dyDescent="0.3">
      <c r="A698" s="1">
        <v>-0.41786418333840608</v>
      </c>
      <c r="B698" s="1">
        <v>-3.7869163111902693E-3</v>
      </c>
      <c r="C698" s="1">
        <v>61.485930896260903</v>
      </c>
      <c r="D698" s="1">
        <v>-11.485930896260914</v>
      </c>
      <c r="E698" s="6">
        <v>7</v>
      </c>
    </row>
    <row r="699" spans="1:5" x14ac:dyDescent="0.3">
      <c r="A699" s="1">
        <v>2.6990233283232912E-2</v>
      </c>
      <c r="B699" s="1">
        <v>-2.8657672474875044E-2</v>
      </c>
      <c r="C699" s="1">
        <v>26.058707124867425</v>
      </c>
      <c r="D699" s="1">
        <v>29.111641363748735</v>
      </c>
      <c r="E699" s="6">
        <v>8</v>
      </c>
    </row>
    <row r="700" spans="1:5" x14ac:dyDescent="0.3">
      <c r="A700" s="1">
        <v>0.34592809690155152</v>
      </c>
      <c r="B700" s="1">
        <v>-3.6050970557074041E-2</v>
      </c>
      <c r="C700" s="1">
        <v>-40.626991353835329</v>
      </c>
      <c r="D700" s="1">
        <v>60.845728023228503</v>
      </c>
      <c r="E700" s="6">
        <v>9</v>
      </c>
    </row>
    <row r="701" spans="1:5" x14ac:dyDescent="0.3">
      <c r="A701" s="1">
        <v>0.89912782585946605</v>
      </c>
      <c r="B701" s="1">
        <v>1.2261363476923609E-2</v>
      </c>
      <c r="C701" s="1">
        <v>-40.764543722357615</v>
      </c>
      <c r="D701" s="1">
        <v>-6.9733332900125964</v>
      </c>
      <c r="E701" s="6">
        <v>10</v>
      </c>
    </row>
    <row r="702" spans="1:5" x14ac:dyDescent="0.3">
      <c r="A702" s="1">
        <v>-0.98533488329693297</v>
      </c>
      <c r="B702" s="1">
        <v>-0.3413842129426734</v>
      </c>
      <c r="C702" s="1">
        <v>89.755581388282209</v>
      </c>
      <c r="D702" s="1">
        <v>-39.755581388282216</v>
      </c>
      <c r="E702" s="6">
        <v>11</v>
      </c>
    </row>
    <row r="703" spans="1:5" x14ac:dyDescent="0.3">
      <c r="A703" s="1">
        <v>-0.42056123095586329</v>
      </c>
      <c r="B703" s="1">
        <v>-0.81556312632784134</v>
      </c>
      <c r="C703" s="1">
        <v>80.342687182597714</v>
      </c>
      <c r="D703" s="1">
        <v>-30.342687182597722</v>
      </c>
      <c r="E703" s="6">
        <v>12</v>
      </c>
    </row>
    <row r="704" spans="1:5" x14ac:dyDescent="0.3">
      <c r="A704" s="1">
        <v>-5.0670863277575508E-2</v>
      </c>
      <c r="B704" s="1">
        <v>-0.98677900623071324</v>
      </c>
      <c r="C704" s="1">
        <v>62.533543163878775</v>
      </c>
      <c r="D704" s="1">
        <v>-12.533543163878775</v>
      </c>
      <c r="E704" s="6">
        <v>13</v>
      </c>
    </row>
    <row r="705" spans="1:5" x14ac:dyDescent="0.3">
      <c r="A705" s="1">
        <v>0.33000171973370973</v>
      </c>
      <c r="B705" s="1">
        <v>-0.72855915113211012</v>
      </c>
      <c r="C705" s="1">
        <v>18.749785033286287</v>
      </c>
      <c r="D705" s="1">
        <v>39.500257960056459</v>
      </c>
      <c r="E705" s="6">
        <v>14</v>
      </c>
    </row>
    <row r="706" spans="1:5" x14ac:dyDescent="0.3">
      <c r="A706" s="1">
        <v>0.96076381166134683</v>
      </c>
      <c r="B706" s="1">
        <v>-0.23645966649984396</v>
      </c>
      <c r="C706" s="1">
        <v>-27.384254110756455</v>
      </c>
      <c r="D706" s="1">
        <v>-24.76850822151291</v>
      </c>
      <c r="E706" s="6">
        <v>15</v>
      </c>
    </row>
    <row r="707" spans="1:5" x14ac:dyDescent="0.3">
      <c r="A707" s="1">
        <v>-0.94288018380262328</v>
      </c>
      <c r="B707" s="1">
        <v>0.2074307203915968</v>
      </c>
      <c r="C707" s="1">
        <v>59.048003063377053</v>
      </c>
      <c r="D707" s="1">
        <v>-8.0960061267541086</v>
      </c>
      <c r="E707" s="6">
        <v>1</v>
      </c>
    </row>
    <row r="708" spans="1:5" x14ac:dyDescent="0.3">
      <c r="A708" s="1">
        <v>-0.33747480584551814</v>
      </c>
      <c r="B708" s="1">
        <v>0.28091674372379805</v>
      </c>
      <c r="C708" s="1">
        <v>40.621220876827721</v>
      </c>
      <c r="D708" s="1">
        <v>17.815649269310235</v>
      </c>
      <c r="E708" s="6">
        <v>2</v>
      </c>
    </row>
    <row r="709" spans="1:5" x14ac:dyDescent="0.3">
      <c r="A709" s="1">
        <v>6.6116049122560347E-2</v>
      </c>
      <c r="B709" s="1">
        <v>0.30629433629802844</v>
      </c>
      <c r="C709" s="1">
        <v>-23.223209824512068</v>
      </c>
      <c r="D709" s="1">
        <v>64.958703684192017</v>
      </c>
      <c r="E709" s="6">
        <v>3</v>
      </c>
    </row>
    <row r="710" spans="1:5" x14ac:dyDescent="0.3">
      <c r="A710" s="1">
        <v>0.39571499617194739</v>
      </c>
      <c r="B710" s="1">
        <v>0.92166342601508511</v>
      </c>
      <c r="C710" s="1">
        <v>-89.142999234389478</v>
      </c>
      <c r="D710" s="1">
        <v>89.678624712896053</v>
      </c>
      <c r="E710" s="6">
        <v>4</v>
      </c>
    </row>
    <row r="711" spans="1:5" x14ac:dyDescent="0.3">
      <c r="A711" s="1">
        <v>0.96870524092252364</v>
      </c>
      <c r="B711" s="1">
        <v>0.85557340165210327</v>
      </c>
      <c r="C711" s="1">
        <v>-33.129475907747633</v>
      </c>
      <c r="D711" s="1">
        <v>-23.741048184504727</v>
      </c>
      <c r="E711" s="6">
        <v>5</v>
      </c>
    </row>
    <row r="712" spans="1:5" x14ac:dyDescent="0.3">
      <c r="A712" s="1">
        <v>-0.92274692431634309</v>
      </c>
      <c r="B712" s="1">
        <v>3.0105810591805136E-2</v>
      </c>
      <c r="C712" s="1">
        <v>72.486472894332522</v>
      </c>
      <c r="D712" s="1">
        <v>-21.462583618630017</v>
      </c>
      <c r="E712" s="6">
        <v>6</v>
      </c>
    </row>
    <row r="713" spans="1:5" x14ac:dyDescent="0.3">
      <c r="A713" s="1">
        <v>-0.44612098629312635</v>
      </c>
      <c r="B713" s="1">
        <v>3.9839655893883739E-2</v>
      </c>
      <c r="C713" s="1">
        <v>59.605961554259849</v>
      </c>
      <c r="D713" s="1">
        <v>-7.8794125668425981</v>
      </c>
      <c r="E713" s="6">
        <v>7</v>
      </c>
    </row>
    <row r="714" spans="1:5" x14ac:dyDescent="0.3">
      <c r="A714" s="1">
        <v>-1.6220144899730948E-2</v>
      </c>
      <c r="B714" s="1">
        <v>9.9914799650777028E-3</v>
      </c>
      <c r="C714" s="1">
        <v>30.027029969353109</v>
      </c>
      <c r="D714" s="1">
        <v>29.135788443180207</v>
      </c>
      <c r="E714" s="6">
        <v>8</v>
      </c>
    </row>
    <row r="715" spans="1:5" x14ac:dyDescent="0.3">
      <c r="A715" s="1">
        <v>0.35709733777489927</v>
      </c>
      <c r="B715" s="1">
        <v>2.3399122485783831E-2</v>
      </c>
      <c r="C715" s="1">
        <v>-65.067070314610973</v>
      </c>
      <c r="D715" s="1">
        <v>74.781440675005911</v>
      </c>
      <c r="E715" s="6">
        <v>9</v>
      </c>
    </row>
    <row r="716" spans="1:5" x14ac:dyDescent="0.3">
      <c r="A716" s="1">
        <v>0.9139433011982292</v>
      </c>
      <c r="B716" s="1">
        <v>-1.3833148288666601E-2</v>
      </c>
      <c r="C716" s="1">
        <v>-33.869489665620932</v>
      </c>
      <c r="D716" s="1">
        <v>-11.279336394687379</v>
      </c>
      <c r="E716" s="6">
        <v>10</v>
      </c>
    </row>
    <row r="717" spans="1:5" x14ac:dyDescent="0.3">
      <c r="A717" s="1">
        <v>-0.94960183362862516</v>
      </c>
      <c r="B717" s="1">
        <v>-0.82589982345888369</v>
      </c>
      <c r="C717" s="1">
        <v>89.160030560477082</v>
      </c>
      <c r="D717" s="1">
        <v>-39.160030560477082</v>
      </c>
      <c r="E717" s="6">
        <v>11</v>
      </c>
    </row>
    <row r="718" spans="1:5" x14ac:dyDescent="0.3">
      <c r="A718" s="1">
        <v>-0.44431288809421887</v>
      </c>
      <c r="B718" s="1">
        <v>-0.74929643069766172</v>
      </c>
      <c r="C718" s="1">
        <v>80.738548134903652</v>
      </c>
      <c r="D718" s="1">
        <v>-30.738548134903645</v>
      </c>
      <c r="E718" s="6">
        <v>12</v>
      </c>
    </row>
    <row r="719" spans="1:5" x14ac:dyDescent="0.3">
      <c r="A719" s="1">
        <v>2.1003814807848631E-2</v>
      </c>
      <c r="B719" s="1">
        <v>-0.29513994476067906</v>
      </c>
      <c r="C719" s="1">
        <v>57.374523149018927</v>
      </c>
      <c r="D719" s="1">
        <v>-6.8494277788227063</v>
      </c>
      <c r="E719" s="6">
        <v>13</v>
      </c>
    </row>
    <row r="720" spans="1:5" x14ac:dyDescent="0.3">
      <c r="A720" s="1">
        <v>0.42453029376324752</v>
      </c>
      <c r="B720" s="1">
        <v>-0.65475371245279534</v>
      </c>
      <c r="C720" s="1">
        <v>8.3646470824501673</v>
      </c>
      <c r="D720" s="1">
        <v>46.729294164900338</v>
      </c>
      <c r="E720" s="6">
        <v>14</v>
      </c>
    </row>
    <row r="721" spans="1:5" x14ac:dyDescent="0.3">
      <c r="A721" s="1">
        <v>0.89273731196244743</v>
      </c>
      <c r="B721" s="1">
        <v>-0.93007509565922708</v>
      </c>
      <c r="C721" s="1">
        <v>-22.849154130829827</v>
      </c>
      <c r="D721" s="1">
        <v>-15.698308261659655</v>
      </c>
      <c r="E721" s="6">
        <v>15</v>
      </c>
    </row>
    <row r="722" spans="1:5" x14ac:dyDescent="0.3">
      <c r="A722" s="1">
        <v>-0.99812587971767286</v>
      </c>
      <c r="B722" s="1">
        <v>0.70439340622989388</v>
      </c>
      <c r="C722" s="1">
        <v>59.968764661961217</v>
      </c>
      <c r="D722" s="1">
        <v>-9.9375293239224298</v>
      </c>
      <c r="E722" s="6">
        <v>1</v>
      </c>
    </row>
    <row r="723" spans="1:5" x14ac:dyDescent="0.3">
      <c r="A723" s="1">
        <v>-0.48233912782340099</v>
      </c>
      <c r="B723" s="1">
        <v>0.78479881684808617</v>
      </c>
      <c r="C723" s="1">
        <v>51.372318797056685</v>
      </c>
      <c r="D723" s="1">
        <v>7.2553624058866344</v>
      </c>
      <c r="E723" s="6">
        <v>2</v>
      </c>
    </row>
    <row r="724" spans="1:5" x14ac:dyDescent="0.3">
      <c r="A724" s="1">
        <v>5.2874504939356151E-2</v>
      </c>
      <c r="B724" s="1">
        <v>0.90453142145801102</v>
      </c>
      <c r="C724" s="6">
        <v>-20.574900987871231</v>
      </c>
      <c r="D724" s="1">
        <v>63.965587870451714</v>
      </c>
      <c r="E724" s="6">
        <v>3</v>
      </c>
    </row>
    <row r="725" spans="1:5" x14ac:dyDescent="0.3">
      <c r="A725" s="1">
        <v>0.43028959595869609</v>
      </c>
      <c r="B725" s="1">
        <v>0.9246153743680825</v>
      </c>
      <c r="C725" s="6">
        <v>-86.971040404130392</v>
      </c>
      <c r="D725" s="1">
        <v>83.942080808260798</v>
      </c>
      <c r="E725" s="6">
        <v>4</v>
      </c>
    </row>
    <row r="726" spans="1:5" x14ac:dyDescent="0.3">
      <c r="A726" s="1">
        <v>0.95834892436944374</v>
      </c>
      <c r="B726" s="1">
        <v>0.54707600209809548</v>
      </c>
      <c r="C726" s="6">
        <v>-34.165107563055628</v>
      </c>
      <c r="D726" s="1">
        <v>-21.669784873888752</v>
      </c>
      <c r="E726" s="6">
        <v>5</v>
      </c>
    </row>
    <row r="727" spans="1:5" x14ac:dyDescent="0.3">
      <c r="A727" s="1">
        <v>-0.89467527746684561</v>
      </c>
      <c r="B727" s="1">
        <v>-2.9251208159431528E-2</v>
      </c>
      <c r="C727" s="6">
        <v>78.415284695876622</v>
      </c>
      <c r="D727" s="1">
        <v>-28.415284695876597</v>
      </c>
      <c r="E727" s="6">
        <v>6</v>
      </c>
    </row>
    <row r="728" spans="1:5" x14ac:dyDescent="0.3">
      <c r="A728" s="1">
        <v>-0.40530565075884833</v>
      </c>
      <c r="B728" s="1">
        <v>-3.9836241546234177E-2</v>
      </c>
      <c r="C728" s="6">
        <v>64.348850118096777</v>
      </c>
      <c r="D728" s="1">
        <v>-14.348850118096781</v>
      </c>
      <c r="E728" s="6">
        <v>7</v>
      </c>
    </row>
    <row r="729" spans="1:5" x14ac:dyDescent="0.3">
      <c r="A729" s="1">
        <v>-4.2798095931507824E-2</v>
      </c>
      <c r="B729" s="1">
        <v>1.9132660616582885E-2</v>
      </c>
      <c r="C729" s="6">
        <v>31.088359083473975</v>
      </c>
      <c r="D729" s="1">
        <v>27.210524347293003</v>
      </c>
      <c r="E729" s="6">
        <v>8</v>
      </c>
    </row>
    <row r="730" spans="1:5" x14ac:dyDescent="0.3">
      <c r="A730" s="1">
        <v>0.34098173042158164</v>
      </c>
      <c r="B730" s="1">
        <v>-1.5907872466534682E-2</v>
      </c>
      <c r="C730" s="6">
        <v>-50.214208288097218</v>
      </c>
      <c r="D730" s="1">
        <v>65.400467787803734</v>
      </c>
      <c r="E730" s="6">
        <v>9</v>
      </c>
    </row>
    <row r="731" spans="1:5" x14ac:dyDescent="0.3">
      <c r="A731" s="1">
        <v>0.92572930700867073</v>
      </c>
      <c r="B731" s="1">
        <v>2.5258665567806718E-3</v>
      </c>
      <c r="C731" s="6">
        <v>-36.775835812254215</v>
      </c>
      <c r="D731" s="1">
        <v>-15.240979513433166</v>
      </c>
      <c r="E731" s="6">
        <v>10</v>
      </c>
    </row>
    <row r="732" spans="1:5" x14ac:dyDescent="0.3">
      <c r="A732" s="1">
        <v>-0.9116524871210081</v>
      </c>
      <c r="B732" s="1">
        <v>-0.19391564834291708</v>
      </c>
      <c r="C732" s="6">
        <v>87.464914629357366</v>
      </c>
      <c r="D732" s="1">
        <v>-37.464914629357388</v>
      </c>
      <c r="E732" s="6">
        <v>11</v>
      </c>
    </row>
    <row r="733" spans="1:5" x14ac:dyDescent="0.3">
      <c r="A733" s="1">
        <v>-0.39826813773215886</v>
      </c>
      <c r="B733" s="1">
        <v>-0.85228684102493468</v>
      </c>
      <c r="C733" s="6">
        <v>79.913406886607959</v>
      </c>
      <c r="D733" s="1">
        <v>-29.913406886607941</v>
      </c>
      <c r="E733" s="6">
        <v>12</v>
      </c>
    </row>
    <row r="734" spans="1:5" x14ac:dyDescent="0.3">
      <c r="A734" s="1">
        <v>-6.5868038310016794E-2</v>
      </c>
      <c r="B734" s="1">
        <v>-0.58586547535408084</v>
      </c>
      <c r="C734" s="6">
        <v>63.293401915500837</v>
      </c>
      <c r="D734" s="1">
        <v>-13.293401915500839</v>
      </c>
      <c r="E734" s="6">
        <v>13</v>
      </c>
    </row>
    <row r="735" spans="1:5" x14ac:dyDescent="0.3">
      <c r="A735" s="1">
        <v>0.48984413118189296</v>
      </c>
      <c r="B735" s="1">
        <v>-0.27148259143447395</v>
      </c>
      <c r="C735" s="6">
        <v>4.0103912545404707</v>
      </c>
      <c r="D735" s="1">
        <v>38.020782509080938</v>
      </c>
      <c r="E735" s="6">
        <v>14</v>
      </c>
    </row>
    <row r="736" spans="1:5" x14ac:dyDescent="0.3">
      <c r="A736" s="1">
        <v>0.9544765974773316</v>
      </c>
      <c r="B736" s="1">
        <v>-0.53258274846934395</v>
      </c>
      <c r="C736" s="6">
        <v>-26.965106498488776</v>
      </c>
      <c r="D736" s="1">
        <v>-23.930212996977549</v>
      </c>
      <c r="E736" s="6">
        <v>15</v>
      </c>
    </row>
    <row r="737" spans="1:5" x14ac:dyDescent="0.3">
      <c r="A737" s="1">
        <v>-0.92189428568895104</v>
      </c>
      <c r="B737" s="1">
        <v>0.70589069021694828</v>
      </c>
      <c r="C737" s="6">
        <v>58.698238094815856</v>
      </c>
      <c r="D737" s="1">
        <v>-7.3964761896317022</v>
      </c>
      <c r="E737" s="6">
        <v>1</v>
      </c>
    </row>
    <row r="738" spans="1:5" x14ac:dyDescent="0.3">
      <c r="A738" s="1">
        <v>-0.40804746178788476</v>
      </c>
      <c r="B738" s="1">
        <v>0.92802571444315285</v>
      </c>
      <c r="C738" s="6">
        <v>50.134124363131406</v>
      </c>
      <c r="D738" s="1">
        <v>9.7317512737371743</v>
      </c>
      <c r="E738" s="6">
        <v>2</v>
      </c>
    </row>
    <row r="739" spans="1:5" x14ac:dyDescent="0.3">
      <c r="A739" s="1">
        <v>5.1909531450759008E-2</v>
      </c>
      <c r="B739" s="1">
        <v>0.84542428119465796</v>
      </c>
      <c r="C739" s="1">
        <v>-20.381906290151804</v>
      </c>
      <c r="D739" s="1">
        <v>63.893214858806928</v>
      </c>
      <c r="E739" s="6">
        <v>3</v>
      </c>
    </row>
    <row r="740" spans="1:5" x14ac:dyDescent="0.3">
      <c r="A740" s="1">
        <v>0.51362183734071531</v>
      </c>
      <c r="B740" s="1">
        <v>0.2640494629919628</v>
      </c>
      <c r="C740" s="1">
        <v>-78.637816265928464</v>
      </c>
      <c r="D740" s="1">
        <v>67.275632531856942</v>
      </c>
      <c r="E740" s="6">
        <v>4</v>
      </c>
    </row>
    <row r="741" spans="1:5" x14ac:dyDescent="0.3">
      <c r="A741" s="1">
        <v>0.89134100692882745</v>
      </c>
      <c r="B741" s="1">
        <v>0.22195340774342803</v>
      </c>
      <c r="C741" s="1">
        <v>-40.865899307117253</v>
      </c>
      <c r="D741" s="1">
        <v>-8.2682013857654866</v>
      </c>
      <c r="E741" s="6">
        <v>5</v>
      </c>
    </row>
    <row r="742" spans="1:5" x14ac:dyDescent="0.3">
      <c r="A742" s="1">
        <v>-0.9735317819717566</v>
      </c>
      <c r="B742" s="1">
        <v>-5.0108216884635487E-3</v>
      </c>
      <c r="C742" s="1">
        <v>79.398411668727107</v>
      </c>
      <c r="D742" s="1">
        <v>-29.398411668727086</v>
      </c>
      <c r="E742" s="6">
        <v>6</v>
      </c>
    </row>
    <row r="743" spans="1:5" x14ac:dyDescent="0.3">
      <c r="A743" s="1">
        <v>-0.42806197021640463</v>
      </c>
      <c r="B743" s="1">
        <v>1.0334823264564585E-2</v>
      </c>
      <c r="C743" s="1">
        <v>60.382846427194018</v>
      </c>
      <c r="D743" s="1">
        <v>-9.9103065931309224</v>
      </c>
      <c r="E743" s="6">
        <v>7</v>
      </c>
    </row>
    <row r="744" spans="1:5" x14ac:dyDescent="0.3">
      <c r="A744" s="1">
        <v>-1.4814298523237179E-2</v>
      </c>
      <c r="B744" s="1">
        <v>-1.4914272985399463E-4</v>
      </c>
      <c r="C744" s="1">
        <v>31.168986023517306</v>
      </c>
      <c r="D744" s="1">
        <v>28.446315989495858</v>
      </c>
      <c r="E744" s="6">
        <v>8</v>
      </c>
    </row>
    <row r="745" spans="1:5" x14ac:dyDescent="0.3">
      <c r="A745" s="1">
        <v>0.41773015905107214</v>
      </c>
      <c r="B745" s="1">
        <v>-1.4805331229795025E-2</v>
      </c>
      <c r="C745" s="1">
        <v>-70.919251489399329</v>
      </c>
      <c r="D745" s="1">
        <v>71.764844077838632</v>
      </c>
      <c r="E745" s="6">
        <v>9</v>
      </c>
    </row>
    <row r="746" spans="1:5" x14ac:dyDescent="0.3">
      <c r="A746" s="1">
        <v>0.99371246695359661</v>
      </c>
      <c r="B746" s="1">
        <v>1.7225646987631092E-2</v>
      </c>
      <c r="C746" s="1">
        <v>-31.129051235329893</v>
      </c>
      <c r="D746" s="1">
        <v>-27.639256507946591</v>
      </c>
      <c r="E746" s="6">
        <v>10</v>
      </c>
    </row>
    <row r="747" spans="1:5" x14ac:dyDescent="0.3">
      <c r="A747" s="1">
        <v>-0.9279631113286495</v>
      </c>
      <c r="B747" s="1">
        <v>-0.81509309130001795</v>
      </c>
      <c r="C747" s="1">
        <v>88.799385188810817</v>
      </c>
      <c r="D747" s="1">
        <v>-38.799385188810831</v>
      </c>
      <c r="E747" s="6">
        <v>11</v>
      </c>
    </row>
    <row r="748" spans="1:5" x14ac:dyDescent="0.3">
      <c r="A748" s="1">
        <v>-0.45481534276279451</v>
      </c>
      <c r="B748" s="1">
        <v>-0.3210541312516012</v>
      </c>
      <c r="C748" s="1">
        <v>80.913589046046582</v>
      </c>
      <c r="D748" s="1">
        <v>-30.913589046046575</v>
      </c>
      <c r="E748" s="6">
        <v>12</v>
      </c>
    </row>
    <row r="749" spans="1:5" x14ac:dyDescent="0.3">
      <c r="A749" s="1">
        <v>1.1092648025146229E-3</v>
      </c>
      <c r="B749" s="1">
        <v>-0.54759181535112322</v>
      </c>
      <c r="C749" s="1">
        <v>59.861341899685677</v>
      </c>
      <c r="D749" s="1">
        <v>-9.8336102796228069</v>
      </c>
      <c r="E749" s="6">
        <v>13</v>
      </c>
    </row>
    <row r="750" spans="1:5" x14ac:dyDescent="0.3">
      <c r="A750" s="1">
        <v>0.41003159848503085</v>
      </c>
      <c r="B750" s="1">
        <v>-0.83245977656965875</v>
      </c>
      <c r="C750" s="1">
        <v>9.3312267676646119</v>
      </c>
      <c r="D750" s="1">
        <v>48.66245353532922</v>
      </c>
      <c r="E750" s="6">
        <v>14</v>
      </c>
    </row>
    <row r="751" spans="1:5" x14ac:dyDescent="0.3">
      <c r="A751" s="1">
        <v>0.93851283469673152</v>
      </c>
      <c r="B751" s="1">
        <v>-0.94754421052170168</v>
      </c>
      <c r="C751" s="1">
        <v>-25.900855646448768</v>
      </c>
      <c r="D751" s="1">
        <v>-21.801711292897537</v>
      </c>
      <c r="E751" s="6">
        <v>15</v>
      </c>
    </row>
    <row r="752" spans="1:5" x14ac:dyDescent="0.3">
      <c r="A752" s="1">
        <v>-0.93205554202234586</v>
      </c>
      <c r="B752" s="1">
        <v>0.86443373566086557</v>
      </c>
      <c r="C752" s="1">
        <v>58.867592367039101</v>
      </c>
      <c r="D752" s="1">
        <v>-7.7351847340781958</v>
      </c>
      <c r="E752" s="6">
        <v>1</v>
      </c>
    </row>
    <row r="753" spans="1:5" x14ac:dyDescent="0.3">
      <c r="A753" s="1">
        <v>-0.45399489074600091</v>
      </c>
      <c r="B753" s="1">
        <v>0.56630719778692007</v>
      </c>
      <c r="C753" s="1">
        <v>50.899914845766681</v>
      </c>
      <c r="D753" s="1">
        <v>8.2001703084666371</v>
      </c>
      <c r="E753" s="6">
        <v>2</v>
      </c>
    </row>
    <row r="754" spans="1:5" x14ac:dyDescent="0.3">
      <c r="A754" s="1">
        <v>2.3064409044419157E-2</v>
      </c>
      <c r="B754" s="1">
        <v>0.72358148789650356</v>
      </c>
      <c r="C754" s="1">
        <v>-14.612881808883831</v>
      </c>
      <c r="D754" s="1">
        <v>61.729830678331439</v>
      </c>
      <c r="E754" s="6">
        <v>3</v>
      </c>
    </row>
    <row r="755" spans="1:5" x14ac:dyDescent="0.3">
      <c r="A755" s="1">
        <v>0.35470983021159391</v>
      </c>
      <c r="B755" s="1">
        <v>0.86495816264387548</v>
      </c>
      <c r="C755" s="1">
        <v>-80.941966042318782</v>
      </c>
      <c r="D755" s="1">
        <v>86.603237265869538</v>
      </c>
      <c r="E755" s="6">
        <v>4</v>
      </c>
    </row>
    <row r="756" spans="1:5" x14ac:dyDescent="0.3">
      <c r="A756" s="1">
        <v>0.93260177289170998</v>
      </c>
      <c r="B756" s="1">
        <v>0.33284474435819772</v>
      </c>
      <c r="C756" s="1">
        <v>-36.739822710829003</v>
      </c>
      <c r="D756" s="1">
        <v>-16.520354578341994</v>
      </c>
      <c r="E756" s="6">
        <v>5</v>
      </c>
    </row>
    <row r="757" spans="1:5" x14ac:dyDescent="0.3">
      <c r="A757" s="1">
        <v>-0.90613374010179948</v>
      </c>
      <c r="B757" s="1">
        <v>3.4235277250572439E-2</v>
      </c>
      <c r="C757" s="1">
        <v>71.434364507779463</v>
      </c>
      <c r="D757" s="1">
        <v>-20.242763837002766</v>
      </c>
      <c r="E757" s="6">
        <v>6</v>
      </c>
    </row>
    <row r="758" spans="1:5" x14ac:dyDescent="0.3">
      <c r="A758" s="1">
        <v>-0.37445247065541187</v>
      </c>
      <c r="B758" s="1">
        <v>-3.4778071416608859E-2</v>
      </c>
      <c r="C758" s="1">
        <v>61.384845531542737</v>
      </c>
      <c r="D758" s="1">
        <v>-10.818500836506034</v>
      </c>
      <c r="E758" s="6">
        <v>7</v>
      </c>
    </row>
    <row r="759" spans="1:5" x14ac:dyDescent="0.3">
      <c r="A759" s="1">
        <v>5.8211676628019141E-2</v>
      </c>
      <c r="B759" s="1">
        <v>-3.6505475525708819E-2</v>
      </c>
      <c r="C759" s="1">
        <v>19.587633099477603</v>
      </c>
      <c r="D759" s="1">
        <v>32.235335243122321</v>
      </c>
      <c r="E759" s="6">
        <v>8</v>
      </c>
    </row>
    <row r="760" spans="1:5" x14ac:dyDescent="0.3">
      <c r="A760" s="1">
        <v>0.38932467698140349</v>
      </c>
      <c r="B760" s="1">
        <v>9.9467300723758353E-3</v>
      </c>
      <c r="C760" s="1">
        <v>-75.911662749063865</v>
      </c>
      <c r="D760" s="1">
        <v>78.698618324164528</v>
      </c>
      <c r="E760" s="6">
        <v>9</v>
      </c>
    </row>
    <row r="761" spans="1:5" x14ac:dyDescent="0.3">
      <c r="A761" s="1">
        <v>0.92085569208703066</v>
      </c>
      <c r="B761" s="1">
        <v>2.5418350563453006E-2</v>
      </c>
      <c r="C761" s="1">
        <v>-41.338742773999861</v>
      </c>
      <c r="D761" s="1">
        <v>-6.2707769728965781</v>
      </c>
      <c r="E761" s="6">
        <v>10</v>
      </c>
    </row>
    <row r="762" spans="1:5" x14ac:dyDescent="0.3">
      <c r="A762" s="1">
        <v>-0.90132046104114372</v>
      </c>
      <c r="B762" s="1">
        <v>-0.82880906619394801</v>
      </c>
      <c r="C762" s="1">
        <v>88.355341017352401</v>
      </c>
      <c r="D762" s="1">
        <v>-38.355341017352401</v>
      </c>
      <c r="E762" s="6">
        <v>11</v>
      </c>
    </row>
    <row r="763" spans="1:5" x14ac:dyDescent="0.3">
      <c r="A763" s="1">
        <v>-0.44183508052830428</v>
      </c>
      <c r="B763" s="1">
        <v>-0.47428402835959205</v>
      </c>
      <c r="C763" s="1">
        <v>80.697251342138401</v>
      </c>
      <c r="D763" s="1">
        <v>-30.697251342138401</v>
      </c>
      <c r="E763" s="6">
        <v>12</v>
      </c>
    </row>
    <row r="764" spans="1:5" x14ac:dyDescent="0.3">
      <c r="A764" s="1">
        <v>-7.8784380358728104E-2</v>
      </c>
      <c r="B764" s="1">
        <v>-0.30616907998083043</v>
      </c>
      <c r="C764" s="1">
        <v>63.939219017936409</v>
      </c>
      <c r="D764" s="1">
        <v>-13.939219017936406</v>
      </c>
      <c r="E764" s="6">
        <v>13</v>
      </c>
    </row>
    <row r="765" spans="1:5" x14ac:dyDescent="0.3">
      <c r="A765" s="1">
        <v>0.49977464778054426</v>
      </c>
      <c r="B765" s="1">
        <v>-0.21449479644971314</v>
      </c>
      <c r="C765" s="1">
        <v>3.3483568146303844</v>
      </c>
      <c r="D765" s="1">
        <v>36.696713629260771</v>
      </c>
      <c r="E765" s="6">
        <v>14</v>
      </c>
    </row>
    <row r="766" spans="1:5" x14ac:dyDescent="0.3">
      <c r="A766" s="1">
        <v>0.94400560307099801</v>
      </c>
      <c r="B766" s="1">
        <v>-0.74720836123101408</v>
      </c>
      <c r="C766" s="1">
        <v>-26.267040204733203</v>
      </c>
      <c r="D766" s="1">
        <v>-22.534080409466402</v>
      </c>
      <c r="E766" s="6">
        <v>15</v>
      </c>
    </row>
    <row r="767" spans="1:5" x14ac:dyDescent="0.3">
      <c r="A767" s="1">
        <v>-0.91137088160932067</v>
      </c>
      <c r="B767" s="1">
        <v>0.33654263280275909</v>
      </c>
      <c r="C767" s="1">
        <v>58.522848026822011</v>
      </c>
      <c r="D767" s="1">
        <v>-7.0456960536440221</v>
      </c>
      <c r="E767" s="6">
        <v>1</v>
      </c>
    </row>
    <row r="768" spans="1:5" x14ac:dyDescent="0.3">
      <c r="A768" s="1">
        <v>-0.3715847790418354</v>
      </c>
      <c r="B768" s="1">
        <v>0.63237277065172914</v>
      </c>
      <c r="C768" s="1">
        <v>45.737716856275313</v>
      </c>
      <c r="D768" s="1">
        <v>13.55190261977058</v>
      </c>
      <c r="E768" s="6">
        <v>2</v>
      </c>
    </row>
    <row r="769" spans="1:5" x14ac:dyDescent="0.3">
      <c r="A769" s="1">
        <v>-4.1668905457250938E-2</v>
      </c>
      <c r="B769" s="1">
        <v>0.94643079490960169</v>
      </c>
      <c r="C769" s="1">
        <v>-3.749664181412359</v>
      </c>
      <c r="D769" s="1">
        <v>54.79138681784363</v>
      </c>
      <c r="E769" s="6">
        <v>3</v>
      </c>
    </row>
    <row r="770" spans="1:5" x14ac:dyDescent="0.3">
      <c r="A770" s="1">
        <v>0.35657676097997881</v>
      </c>
      <c r="B770" s="1">
        <v>0.83286387355635716</v>
      </c>
      <c r="C770" s="1">
        <v>-81.315352195995771</v>
      </c>
      <c r="D770" s="1">
        <v>86.743257073498413</v>
      </c>
      <c r="E770" s="6">
        <v>4</v>
      </c>
    </row>
    <row r="771" spans="1:5" x14ac:dyDescent="0.3">
      <c r="A771" s="1">
        <v>0.94511097588072779</v>
      </c>
      <c r="B771" s="1">
        <v>0.83624743551512681</v>
      </c>
      <c r="C771" s="1">
        <v>-35.488902411927221</v>
      </c>
      <c r="D771" s="1">
        <v>-19.022195176145559</v>
      </c>
      <c r="E771" s="6">
        <v>5</v>
      </c>
    </row>
    <row r="772" spans="1:5" x14ac:dyDescent="0.3">
      <c r="A772" s="1">
        <v>-0.99723764612421406</v>
      </c>
      <c r="B772" s="1">
        <v>3.4231559129676035E-2</v>
      </c>
      <c r="C772" s="1">
        <v>76.379980513579341</v>
      </c>
      <c r="D772" s="1">
        <v>-26.334361336683276</v>
      </c>
      <c r="E772" s="6">
        <v>6</v>
      </c>
    </row>
    <row r="773" spans="1:5" x14ac:dyDescent="0.3">
      <c r="A773" s="1">
        <v>-0.47294131699940029</v>
      </c>
      <c r="B773" s="1">
        <v>-3.4860298982982207E-2</v>
      </c>
      <c r="C773" s="1">
        <v>67.693816060823011</v>
      </c>
      <c r="D773" s="1">
        <v>-17.693816060823014</v>
      </c>
      <c r="E773" s="6">
        <v>7</v>
      </c>
    </row>
    <row r="774" spans="1:5" x14ac:dyDescent="0.3">
      <c r="A774" s="1">
        <v>2.9570624862287759E-3</v>
      </c>
      <c r="B774" s="1">
        <v>9.0227279955621131E-3</v>
      </c>
      <c r="C774" s="1">
        <v>26.546208852493827</v>
      </c>
      <c r="D774" s="1">
        <v>32.135034234834023</v>
      </c>
      <c r="E774" s="6">
        <v>8</v>
      </c>
    </row>
    <row r="775" spans="1:5" x14ac:dyDescent="0.3">
      <c r="A775" s="1">
        <v>0.36821182074006953</v>
      </c>
      <c r="B775" s="1">
        <v>-2.2537287306097317E-2</v>
      </c>
      <c r="C775" s="1">
        <v>-54.106193490093901</v>
      </c>
      <c r="D775" s="1">
        <v>67.483006352431346</v>
      </c>
      <c r="E775" s="6">
        <v>9</v>
      </c>
    </row>
    <row r="776" spans="1:5" x14ac:dyDescent="0.3">
      <c r="A776" s="1">
        <v>0.95254435631922096</v>
      </c>
      <c r="B776" s="1">
        <v>3.0972981465445297E-2</v>
      </c>
      <c r="C776" s="1">
        <v>-37.511924039549676</v>
      </c>
      <c r="D776" s="1">
        <v>-14.293249735487064</v>
      </c>
      <c r="E776" s="6">
        <v>10</v>
      </c>
    </row>
    <row r="777" spans="1:5" x14ac:dyDescent="0.3">
      <c r="A777" s="1">
        <v>-0.89501083919844659</v>
      </c>
      <c r="B777" s="1">
        <v>-0.73226482817146699</v>
      </c>
      <c r="C777" s="1">
        <v>88.250180653307439</v>
      </c>
      <c r="D777" s="1">
        <v>-38.250180653307439</v>
      </c>
      <c r="E777" s="6">
        <v>11</v>
      </c>
    </row>
    <row r="778" spans="1:5" x14ac:dyDescent="0.3">
      <c r="A778" s="1">
        <v>-0.51400100566666629</v>
      </c>
      <c r="B778" s="1">
        <v>-0.58625254271783755</v>
      </c>
      <c r="C778" s="1">
        <v>81.900016761111118</v>
      </c>
      <c r="D778" s="1">
        <v>-31.900016761111107</v>
      </c>
      <c r="E778" s="6">
        <v>12</v>
      </c>
    </row>
    <row r="779" spans="1:5" x14ac:dyDescent="0.3">
      <c r="A779" s="1">
        <v>-2.4093277989254765E-2</v>
      </c>
      <c r="B779" s="1">
        <v>-0.85573224566984951</v>
      </c>
      <c r="C779" s="1">
        <v>61.204663899462744</v>
      </c>
      <c r="D779" s="1">
        <v>-11.204663899462739</v>
      </c>
      <c r="E779" s="6">
        <v>13</v>
      </c>
    </row>
    <row r="780" spans="1:5" x14ac:dyDescent="0.3">
      <c r="A780" s="1">
        <v>0.45047458144675767</v>
      </c>
      <c r="B780" s="1">
        <v>-0.8592008765353667</v>
      </c>
      <c r="C780" s="1">
        <v>6.6350279035494886</v>
      </c>
      <c r="D780" s="1">
        <v>43.270055807098984</v>
      </c>
      <c r="E780" s="6">
        <v>14</v>
      </c>
    </row>
    <row r="781" spans="1:5" x14ac:dyDescent="0.3">
      <c r="A781" s="1">
        <v>0.93697336417251964</v>
      </c>
      <c r="B781" s="1">
        <v>-0.34866867722795636</v>
      </c>
      <c r="C781" s="1">
        <v>-25.798224278167975</v>
      </c>
      <c r="D781" s="1">
        <v>-21.59644855633595</v>
      </c>
      <c r="E781" s="6">
        <v>15</v>
      </c>
    </row>
    <row r="782" spans="1:5" x14ac:dyDescent="0.3">
      <c r="E782" s="6">
        <v>1</v>
      </c>
    </row>
    <row r="783" spans="1:5" x14ac:dyDescent="0.3">
      <c r="E783" s="6">
        <v>2</v>
      </c>
    </row>
    <row r="784" spans="1:5" x14ac:dyDescent="0.3">
      <c r="E784" s="6">
        <v>3</v>
      </c>
    </row>
    <row r="785" spans="5:5" x14ac:dyDescent="0.3">
      <c r="E785" s="6">
        <v>4</v>
      </c>
    </row>
    <row r="786" spans="5:5" x14ac:dyDescent="0.3">
      <c r="E786" s="6">
        <v>5</v>
      </c>
    </row>
    <row r="787" spans="5:5" x14ac:dyDescent="0.3">
      <c r="E787" s="6">
        <v>6</v>
      </c>
    </row>
    <row r="788" spans="5:5" x14ac:dyDescent="0.3">
      <c r="E788" s="6">
        <v>7</v>
      </c>
    </row>
    <row r="789" spans="5:5" x14ac:dyDescent="0.3">
      <c r="E789" s="6">
        <v>8</v>
      </c>
    </row>
    <row r="790" spans="5:5" x14ac:dyDescent="0.3">
      <c r="E790" s="6">
        <v>9</v>
      </c>
    </row>
    <row r="791" spans="5:5" x14ac:dyDescent="0.3">
      <c r="E791" s="6">
        <v>10</v>
      </c>
    </row>
    <row r="792" spans="5:5" x14ac:dyDescent="0.3">
      <c r="E792" s="6">
        <v>11</v>
      </c>
    </row>
    <row r="793" spans="5:5" x14ac:dyDescent="0.3">
      <c r="E793" s="6">
        <v>12</v>
      </c>
    </row>
    <row r="794" spans="5:5" x14ac:dyDescent="0.3">
      <c r="E794" s="6">
        <v>13</v>
      </c>
    </row>
    <row r="795" spans="5:5" x14ac:dyDescent="0.3">
      <c r="E795" s="6">
        <v>14</v>
      </c>
    </row>
    <row r="796" spans="5:5" x14ac:dyDescent="0.3">
      <c r="E796" s="6">
        <v>15</v>
      </c>
    </row>
    <row r="797" spans="5:5" x14ac:dyDescent="0.3">
      <c r="E797" s="6">
        <v>1</v>
      </c>
    </row>
    <row r="798" spans="5:5" x14ac:dyDescent="0.3">
      <c r="E798" s="6">
        <v>2</v>
      </c>
    </row>
    <row r="799" spans="5:5" x14ac:dyDescent="0.3">
      <c r="E799" s="6">
        <v>3</v>
      </c>
    </row>
    <row r="800" spans="5:5" x14ac:dyDescent="0.3">
      <c r="E800" s="6">
        <v>4</v>
      </c>
    </row>
    <row r="801" spans="5:5" x14ac:dyDescent="0.3">
      <c r="E801" s="6">
        <v>5</v>
      </c>
    </row>
    <row r="802" spans="5:5" x14ac:dyDescent="0.3">
      <c r="E802" s="6">
        <v>6</v>
      </c>
    </row>
    <row r="803" spans="5:5" x14ac:dyDescent="0.3">
      <c r="E803" s="6">
        <v>7</v>
      </c>
    </row>
    <row r="804" spans="5:5" x14ac:dyDescent="0.3">
      <c r="E804" s="6">
        <v>8</v>
      </c>
    </row>
    <row r="805" spans="5:5" x14ac:dyDescent="0.3">
      <c r="E805" s="6">
        <v>9</v>
      </c>
    </row>
    <row r="806" spans="5:5" x14ac:dyDescent="0.3">
      <c r="E806" s="6">
        <v>10</v>
      </c>
    </row>
    <row r="807" spans="5:5" x14ac:dyDescent="0.3">
      <c r="E807" s="6">
        <v>11</v>
      </c>
    </row>
    <row r="808" spans="5:5" x14ac:dyDescent="0.3">
      <c r="E808" s="6">
        <v>12</v>
      </c>
    </row>
    <row r="809" spans="5:5" x14ac:dyDescent="0.3">
      <c r="E809" s="6">
        <v>13</v>
      </c>
    </row>
    <row r="810" spans="5:5" x14ac:dyDescent="0.3">
      <c r="E810" s="6">
        <v>14</v>
      </c>
    </row>
    <row r="811" spans="5:5" x14ac:dyDescent="0.3">
      <c r="E811" s="6">
        <v>15</v>
      </c>
    </row>
    <row r="812" spans="5:5" x14ac:dyDescent="0.3">
      <c r="E812" s="6">
        <v>1</v>
      </c>
    </row>
    <row r="813" spans="5:5" x14ac:dyDescent="0.3">
      <c r="E813" s="6">
        <v>2</v>
      </c>
    </row>
    <row r="814" spans="5:5" x14ac:dyDescent="0.3">
      <c r="E814" s="6">
        <v>3</v>
      </c>
    </row>
    <row r="815" spans="5:5" x14ac:dyDescent="0.3">
      <c r="E815" s="6">
        <v>4</v>
      </c>
    </row>
    <row r="816" spans="5:5" x14ac:dyDescent="0.3">
      <c r="E816" s="6">
        <v>5</v>
      </c>
    </row>
    <row r="817" spans="5:5" x14ac:dyDescent="0.3">
      <c r="E817" s="6">
        <v>6</v>
      </c>
    </row>
    <row r="818" spans="5:5" x14ac:dyDescent="0.3">
      <c r="E818" s="6">
        <v>7</v>
      </c>
    </row>
    <row r="819" spans="5:5" x14ac:dyDescent="0.3">
      <c r="E819" s="6">
        <v>8</v>
      </c>
    </row>
    <row r="820" spans="5:5" x14ac:dyDescent="0.3">
      <c r="E820" s="6">
        <v>9</v>
      </c>
    </row>
    <row r="821" spans="5:5" x14ac:dyDescent="0.3">
      <c r="E821" s="6">
        <v>10</v>
      </c>
    </row>
    <row r="822" spans="5:5" x14ac:dyDescent="0.3">
      <c r="E822" s="6">
        <v>11</v>
      </c>
    </row>
    <row r="823" spans="5:5" x14ac:dyDescent="0.3">
      <c r="E823" s="6">
        <v>12</v>
      </c>
    </row>
    <row r="824" spans="5:5" x14ac:dyDescent="0.3">
      <c r="E824" s="6">
        <v>13</v>
      </c>
    </row>
    <row r="825" spans="5:5" x14ac:dyDescent="0.3">
      <c r="E825" s="6">
        <v>14</v>
      </c>
    </row>
    <row r="826" spans="5:5" x14ac:dyDescent="0.3">
      <c r="E826" s="6">
        <v>15</v>
      </c>
    </row>
    <row r="827" spans="5:5" x14ac:dyDescent="0.3">
      <c r="E827" s="6">
        <v>1</v>
      </c>
    </row>
    <row r="828" spans="5:5" x14ac:dyDescent="0.3">
      <c r="E828" s="6">
        <v>2</v>
      </c>
    </row>
    <row r="829" spans="5:5" x14ac:dyDescent="0.3">
      <c r="E829" s="6">
        <v>3</v>
      </c>
    </row>
    <row r="830" spans="5:5" x14ac:dyDescent="0.3">
      <c r="E830" s="6">
        <v>4</v>
      </c>
    </row>
    <row r="831" spans="5:5" x14ac:dyDescent="0.3">
      <c r="E831" s="6">
        <v>5</v>
      </c>
    </row>
    <row r="832" spans="5:5" x14ac:dyDescent="0.3">
      <c r="E832" s="6">
        <v>6</v>
      </c>
    </row>
    <row r="833" spans="5:5" x14ac:dyDescent="0.3">
      <c r="E833" s="6">
        <v>7</v>
      </c>
    </row>
    <row r="834" spans="5:5" x14ac:dyDescent="0.3">
      <c r="E834" s="6">
        <v>8</v>
      </c>
    </row>
    <row r="835" spans="5:5" x14ac:dyDescent="0.3">
      <c r="E835" s="6">
        <v>9</v>
      </c>
    </row>
    <row r="836" spans="5:5" x14ac:dyDescent="0.3">
      <c r="E836" s="6">
        <v>10</v>
      </c>
    </row>
    <row r="837" spans="5:5" x14ac:dyDescent="0.3">
      <c r="E837" s="6">
        <v>11</v>
      </c>
    </row>
    <row r="838" spans="5:5" x14ac:dyDescent="0.3">
      <c r="E838" s="6">
        <v>12</v>
      </c>
    </row>
    <row r="839" spans="5:5" x14ac:dyDescent="0.3">
      <c r="E839" s="6">
        <v>13</v>
      </c>
    </row>
    <row r="840" spans="5:5" x14ac:dyDescent="0.3">
      <c r="E840" s="6">
        <v>14</v>
      </c>
    </row>
    <row r="841" spans="5:5" x14ac:dyDescent="0.3">
      <c r="E841" s="6">
        <v>15</v>
      </c>
    </row>
    <row r="842" spans="5:5" x14ac:dyDescent="0.3">
      <c r="E842" s="6">
        <v>1</v>
      </c>
    </row>
    <row r="843" spans="5:5" x14ac:dyDescent="0.3">
      <c r="E843" s="6">
        <v>2</v>
      </c>
    </row>
    <row r="844" spans="5:5" x14ac:dyDescent="0.3">
      <c r="E844" s="6">
        <v>3</v>
      </c>
    </row>
    <row r="845" spans="5:5" x14ac:dyDescent="0.3">
      <c r="E845" s="6">
        <v>4</v>
      </c>
    </row>
    <row r="846" spans="5:5" x14ac:dyDescent="0.3">
      <c r="E846" s="6">
        <v>5</v>
      </c>
    </row>
    <row r="847" spans="5:5" x14ac:dyDescent="0.3">
      <c r="E847" s="6">
        <v>6</v>
      </c>
    </row>
    <row r="848" spans="5:5" x14ac:dyDescent="0.3">
      <c r="E848" s="6">
        <v>7</v>
      </c>
    </row>
    <row r="849" spans="5:5" x14ac:dyDescent="0.3">
      <c r="E849" s="6">
        <v>8</v>
      </c>
    </row>
    <row r="850" spans="5:5" x14ac:dyDescent="0.3">
      <c r="E850" s="6">
        <v>9</v>
      </c>
    </row>
    <row r="851" spans="5:5" x14ac:dyDescent="0.3">
      <c r="E851" s="6">
        <v>10</v>
      </c>
    </row>
    <row r="852" spans="5:5" x14ac:dyDescent="0.3">
      <c r="E852" s="6">
        <v>11</v>
      </c>
    </row>
    <row r="853" spans="5:5" x14ac:dyDescent="0.3">
      <c r="E853" s="6">
        <v>12</v>
      </c>
    </row>
    <row r="854" spans="5:5" x14ac:dyDescent="0.3">
      <c r="E854" s="6">
        <v>13</v>
      </c>
    </row>
    <row r="855" spans="5:5" x14ac:dyDescent="0.3">
      <c r="E855" s="6">
        <v>14</v>
      </c>
    </row>
    <row r="856" spans="5:5" x14ac:dyDescent="0.3">
      <c r="E856" s="6">
        <v>15</v>
      </c>
    </row>
    <row r="857" spans="5:5" x14ac:dyDescent="0.3">
      <c r="E857" s="6">
        <v>1</v>
      </c>
    </row>
    <row r="858" spans="5:5" x14ac:dyDescent="0.3">
      <c r="E858" s="6">
        <v>2</v>
      </c>
    </row>
    <row r="859" spans="5:5" x14ac:dyDescent="0.3">
      <c r="E859" s="6">
        <v>3</v>
      </c>
    </row>
    <row r="860" spans="5:5" x14ac:dyDescent="0.3">
      <c r="E860" s="6">
        <v>4</v>
      </c>
    </row>
    <row r="861" spans="5:5" x14ac:dyDescent="0.3">
      <c r="E861" s="6">
        <v>5</v>
      </c>
    </row>
    <row r="862" spans="5:5" x14ac:dyDescent="0.3">
      <c r="E862" s="6">
        <v>6</v>
      </c>
    </row>
    <row r="863" spans="5:5" x14ac:dyDescent="0.3">
      <c r="E863" s="6">
        <v>7</v>
      </c>
    </row>
    <row r="864" spans="5:5" x14ac:dyDescent="0.3">
      <c r="E864" s="6">
        <v>8</v>
      </c>
    </row>
    <row r="865" spans="5:5" x14ac:dyDescent="0.3">
      <c r="E865" s="6">
        <v>9</v>
      </c>
    </row>
    <row r="866" spans="5:5" x14ac:dyDescent="0.3">
      <c r="E866" s="6">
        <v>10</v>
      </c>
    </row>
    <row r="867" spans="5:5" x14ac:dyDescent="0.3">
      <c r="E867" s="6">
        <v>11</v>
      </c>
    </row>
    <row r="868" spans="5:5" x14ac:dyDescent="0.3">
      <c r="E868" s="6">
        <v>12</v>
      </c>
    </row>
    <row r="869" spans="5:5" x14ac:dyDescent="0.3">
      <c r="E869" s="6">
        <v>13</v>
      </c>
    </row>
    <row r="870" spans="5:5" x14ac:dyDescent="0.3">
      <c r="E870" s="6">
        <v>14</v>
      </c>
    </row>
    <row r="871" spans="5:5" x14ac:dyDescent="0.3">
      <c r="E871" s="6">
        <v>15</v>
      </c>
    </row>
    <row r="872" spans="5:5" x14ac:dyDescent="0.3">
      <c r="E872" s="6">
        <v>1</v>
      </c>
    </row>
    <row r="873" spans="5:5" x14ac:dyDescent="0.3">
      <c r="E873" s="6">
        <v>2</v>
      </c>
    </row>
    <row r="874" spans="5:5" x14ac:dyDescent="0.3">
      <c r="E874" s="6">
        <v>3</v>
      </c>
    </row>
    <row r="875" spans="5:5" x14ac:dyDescent="0.3">
      <c r="E875" s="6">
        <v>4</v>
      </c>
    </row>
    <row r="876" spans="5:5" x14ac:dyDescent="0.3">
      <c r="E876" s="6">
        <v>5</v>
      </c>
    </row>
    <row r="877" spans="5:5" x14ac:dyDescent="0.3">
      <c r="E877" s="6">
        <v>6</v>
      </c>
    </row>
    <row r="878" spans="5:5" x14ac:dyDescent="0.3">
      <c r="E878" s="6">
        <v>7</v>
      </c>
    </row>
    <row r="879" spans="5:5" x14ac:dyDescent="0.3">
      <c r="E879" s="6">
        <v>8</v>
      </c>
    </row>
    <row r="880" spans="5:5" x14ac:dyDescent="0.3">
      <c r="E880" s="6">
        <v>9</v>
      </c>
    </row>
    <row r="881" spans="5:5" x14ac:dyDescent="0.3">
      <c r="E881" s="6">
        <v>10</v>
      </c>
    </row>
    <row r="882" spans="5:5" x14ac:dyDescent="0.3">
      <c r="E882" s="6">
        <v>11</v>
      </c>
    </row>
    <row r="883" spans="5:5" x14ac:dyDescent="0.3">
      <c r="E883" s="6">
        <v>12</v>
      </c>
    </row>
    <row r="884" spans="5:5" x14ac:dyDescent="0.3">
      <c r="E884" s="6">
        <v>13</v>
      </c>
    </row>
    <row r="885" spans="5:5" x14ac:dyDescent="0.3">
      <c r="E885" s="6">
        <v>14</v>
      </c>
    </row>
    <row r="886" spans="5:5" x14ac:dyDescent="0.3">
      <c r="E886" s="6">
        <v>15</v>
      </c>
    </row>
    <row r="887" spans="5:5" x14ac:dyDescent="0.3">
      <c r="E887" s="6">
        <v>1</v>
      </c>
    </row>
    <row r="888" spans="5:5" x14ac:dyDescent="0.3">
      <c r="E888" s="6">
        <v>2</v>
      </c>
    </row>
    <row r="889" spans="5:5" x14ac:dyDescent="0.3">
      <c r="E889" s="6">
        <v>3</v>
      </c>
    </row>
    <row r="890" spans="5:5" x14ac:dyDescent="0.3">
      <c r="E890" s="6">
        <v>4</v>
      </c>
    </row>
    <row r="891" spans="5:5" x14ac:dyDescent="0.3">
      <c r="E891" s="6">
        <v>5</v>
      </c>
    </row>
    <row r="892" spans="5:5" x14ac:dyDescent="0.3">
      <c r="E892" s="6">
        <v>6</v>
      </c>
    </row>
    <row r="893" spans="5:5" x14ac:dyDescent="0.3">
      <c r="E893" s="6">
        <v>7</v>
      </c>
    </row>
    <row r="894" spans="5:5" x14ac:dyDescent="0.3">
      <c r="E894" s="6">
        <v>8</v>
      </c>
    </row>
    <row r="895" spans="5:5" x14ac:dyDescent="0.3">
      <c r="E895" s="6">
        <v>9</v>
      </c>
    </row>
    <row r="896" spans="5:5" x14ac:dyDescent="0.3">
      <c r="E896" s="6">
        <v>10</v>
      </c>
    </row>
    <row r="897" spans="5:5" x14ac:dyDescent="0.3">
      <c r="E897" s="6">
        <v>11</v>
      </c>
    </row>
    <row r="898" spans="5:5" x14ac:dyDescent="0.3">
      <c r="E898" s="6">
        <v>12</v>
      </c>
    </row>
    <row r="899" spans="5:5" x14ac:dyDescent="0.3">
      <c r="E899" s="6">
        <v>13</v>
      </c>
    </row>
    <row r="900" spans="5:5" x14ac:dyDescent="0.3">
      <c r="E900" s="6">
        <v>14</v>
      </c>
    </row>
    <row r="901" spans="5:5" x14ac:dyDescent="0.3">
      <c r="E901" s="6">
        <v>15</v>
      </c>
    </row>
    <row r="902" spans="5:5" x14ac:dyDescent="0.3">
      <c r="E902" s="6">
        <v>1</v>
      </c>
    </row>
    <row r="903" spans="5:5" x14ac:dyDescent="0.3">
      <c r="E903" s="6">
        <v>2</v>
      </c>
    </row>
    <row r="904" spans="5:5" x14ac:dyDescent="0.3">
      <c r="E904" s="6">
        <v>3</v>
      </c>
    </row>
    <row r="905" spans="5:5" x14ac:dyDescent="0.3">
      <c r="E905" s="6">
        <v>4</v>
      </c>
    </row>
    <row r="906" spans="5:5" x14ac:dyDescent="0.3">
      <c r="E906" s="6">
        <v>5</v>
      </c>
    </row>
    <row r="907" spans="5:5" x14ac:dyDescent="0.3">
      <c r="E907" s="6">
        <v>6</v>
      </c>
    </row>
    <row r="908" spans="5:5" x14ac:dyDescent="0.3">
      <c r="E908" s="6">
        <v>7</v>
      </c>
    </row>
    <row r="909" spans="5:5" x14ac:dyDescent="0.3">
      <c r="E909" s="6">
        <v>8</v>
      </c>
    </row>
    <row r="910" spans="5:5" x14ac:dyDescent="0.3">
      <c r="E910" s="6">
        <v>9</v>
      </c>
    </row>
    <row r="911" spans="5:5" x14ac:dyDescent="0.3">
      <c r="E911" s="6">
        <v>10</v>
      </c>
    </row>
    <row r="912" spans="5:5" x14ac:dyDescent="0.3">
      <c r="E912" s="6">
        <v>11</v>
      </c>
    </row>
    <row r="913" spans="5:5" x14ac:dyDescent="0.3">
      <c r="E913" s="6">
        <v>12</v>
      </c>
    </row>
    <row r="914" spans="5:5" x14ac:dyDescent="0.3">
      <c r="E914" s="6">
        <v>13</v>
      </c>
    </row>
    <row r="915" spans="5:5" x14ac:dyDescent="0.3">
      <c r="E915" s="6">
        <v>14</v>
      </c>
    </row>
    <row r="916" spans="5:5" x14ac:dyDescent="0.3">
      <c r="E916" s="6">
        <v>15</v>
      </c>
    </row>
    <row r="917" spans="5:5" x14ac:dyDescent="0.3">
      <c r="E917" s="6">
        <v>1</v>
      </c>
    </row>
    <row r="918" spans="5:5" x14ac:dyDescent="0.3">
      <c r="E918" s="6">
        <v>2</v>
      </c>
    </row>
    <row r="919" spans="5:5" x14ac:dyDescent="0.3">
      <c r="E919" s="6">
        <v>3</v>
      </c>
    </row>
    <row r="920" spans="5:5" x14ac:dyDescent="0.3">
      <c r="E920" s="6">
        <v>4</v>
      </c>
    </row>
    <row r="921" spans="5:5" x14ac:dyDescent="0.3">
      <c r="E921" s="6">
        <v>5</v>
      </c>
    </row>
    <row r="922" spans="5:5" x14ac:dyDescent="0.3">
      <c r="E922" s="6">
        <v>6</v>
      </c>
    </row>
    <row r="923" spans="5:5" x14ac:dyDescent="0.3">
      <c r="E923" s="6">
        <v>7</v>
      </c>
    </row>
    <row r="924" spans="5:5" x14ac:dyDescent="0.3">
      <c r="E924" s="6">
        <v>8</v>
      </c>
    </row>
    <row r="925" spans="5:5" x14ac:dyDescent="0.3">
      <c r="E925" s="6">
        <v>9</v>
      </c>
    </row>
    <row r="926" spans="5:5" x14ac:dyDescent="0.3">
      <c r="E926" s="6">
        <v>10</v>
      </c>
    </row>
    <row r="927" spans="5:5" x14ac:dyDescent="0.3">
      <c r="E927" s="6">
        <v>11</v>
      </c>
    </row>
    <row r="928" spans="5:5" x14ac:dyDescent="0.3">
      <c r="E928" s="6">
        <v>12</v>
      </c>
    </row>
    <row r="929" spans="5:5" x14ac:dyDescent="0.3">
      <c r="E929" s="6">
        <v>13</v>
      </c>
    </row>
    <row r="930" spans="5:5" x14ac:dyDescent="0.3">
      <c r="E930" s="6">
        <v>14</v>
      </c>
    </row>
    <row r="931" spans="5:5" x14ac:dyDescent="0.3">
      <c r="E931" s="6">
        <v>15</v>
      </c>
    </row>
    <row r="932" spans="5:5" x14ac:dyDescent="0.3">
      <c r="E932" s="6">
        <v>1</v>
      </c>
    </row>
    <row r="933" spans="5:5" x14ac:dyDescent="0.3">
      <c r="E933" s="6">
        <v>2</v>
      </c>
    </row>
    <row r="934" spans="5:5" x14ac:dyDescent="0.3">
      <c r="E934" s="6">
        <v>3</v>
      </c>
    </row>
    <row r="935" spans="5:5" x14ac:dyDescent="0.3">
      <c r="E935" s="6">
        <v>4</v>
      </c>
    </row>
    <row r="936" spans="5:5" x14ac:dyDescent="0.3">
      <c r="E936" s="6">
        <v>5</v>
      </c>
    </row>
    <row r="937" spans="5:5" x14ac:dyDescent="0.3">
      <c r="E937" s="6">
        <v>6</v>
      </c>
    </row>
    <row r="938" spans="5:5" x14ac:dyDescent="0.3">
      <c r="E938" s="6">
        <v>7</v>
      </c>
    </row>
    <row r="939" spans="5:5" x14ac:dyDescent="0.3">
      <c r="E939" s="6">
        <v>8</v>
      </c>
    </row>
    <row r="940" spans="5:5" x14ac:dyDescent="0.3">
      <c r="E940" s="6">
        <v>9</v>
      </c>
    </row>
    <row r="941" spans="5:5" x14ac:dyDescent="0.3">
      <c r="E941" s="6">
        <v>10</v>
      </c>
    </row>
    <row r="942" spans="5:5" x14ac:dyDescent="0.3">
      <c r="E942" s="6">
        <v>11</v>
      </c>
    </row>
    <row r="943" spans="5:5" x14ac:dyDescent="0.3">
      <c r="E943" s="6">
        <v>12</v>
      </c>
    </row>
    <row r="944" spans="5:5" x14ac:dyDescent="0.3">
      <c r="E944" s="6">
        <v>13</v>
      </c>
    </row>
    <row r="945" spans="5:5" x14ac:dyDescent="0.3">
      <c r="E945" s="6">
        <v>14</v>
      </c>
    </row>
    <row r="946" spans="5:5" x14ac:dyDescent="0.3">
      <c r="E946" s="6">
        <v>15</v>
      </c>
    </row>
    <row r="947" spans="5:5" x14ac:dyDescent="0.3">
      <c r="E947" s="6">
        <v>1</v>
      </c>
    </row>
    <row r="948" spans="5:5" x14ac:dyDescent="0.3">
      <c r="E948" s="6">
        <v>2</v>
      </c>
    </row>
    <row r="949" spans="5:5" x14ac:dyDescent="0.3">
      <c r="E949" s="6">
        <v>3</v>
      </c>
    </row>
    <row r="950" spans="5:5" x14ac:dyDescent="0.3">
      <c r="E950" s="6">
        <v>4</v>
      </c>
    </row>
    <row r="951" spans="5:5" x14ac:dyDescent="0.3">
      <c r="E951" s="6">
        <v>5</v>
      </c>
    </row>
    <row r="952" spans="5:5" x14ac:dyDescent="0.3">
      <c r="E952" s="6">
        <v>6</v>
      </c>
    </row>
    <row r="953" spans="5:5" x14ac:dyDescent="0.3">
      <c r="E953" s="6">
        <v>7</v>
      </c>
    </row>
    <row r="954" spans="5:5" x14ac:dyDescent="0.3">
      <c r="E954" s="6">
        <v>8</v>
      </c>
    </row>
    <row r="955" spans="5:5" x14ac:dyDescent="0.3">
      <c r="E955" s="6">
        <v>9</v>
      </c>
    </row>
    <row r="956" spans="5:5" x14ac:dyDescent="0.3">
      <c r="E956" s="6">
        <v>10</v>
      </c>
    </row>
    <row r="957" spans="5:5" x14ac:dyDescent="0.3">
      <c r="E957" s="6">
        <v>11</v>
      </c>
    </row>
    <row r="958" spans="5:5" x14ac:dyDescent="0.3">
      <c r="E958" s="6">
        <v>12</v>
      </c>
    </row>
    <row r="959" spans="5:5" x14ac:dyDescent="0.3">
      <c r="E959" s="6">
        <v>13</v>
      </c>
    </row>
    <row r="960" spans="5:5" x14ac:dyDescent="0.3">
      <c r="E960" s="6">
        <v>14</v>
      </c>
    </row>
    <row r="961" spans="5:5" x14ac:dyDescent="0.3">
      <c r="E961" s="6">
        <v>15</v>
      </c>
    </row>
    <row r="962" spans="5:5" x14ac:dyDescent="0.3">
      <c r="E962" s="6">
        <v>1</v>
      </c>
    </row>
    <row r="963" spans="5:5" x14ac:dyDescent="0.3">
      <c r="E963" s="6">
        <v>2</v>
      </c>
    </row>
    <row r="964" spans="5:5" x14ac:dyDescent="0.3">
      <c r="E964" s="6">
        <v>3</v>
      </c>
    </row>
    <row r="965" spans="5:5" x14ac:dyDescent="0.3">
      <c r="E965" s="6">
        <v>4</v>
      </c>
    </row>
    <row r="966" spans="5:5" x14ac:dyDescent="0.3">
      <c r="E966" s="6">
        <v>5</v>
      </c>
    </row>
    <row r="967" spans="5:5" x14ac:dyDescent="0.3">
      <c r="E967" s="6">
        <v>6</v>
      </c>
    </row>
    <row r="968" spans="5:5" x14ac:dyDescent="0.3">
      <c r="E968" s="6">
        <v>7</v>
      </c>
    </row>
    <row r="969" spans="5:5" x14ac:dyDescent="0.3">
      <c r="E969" s="6">
        <v>8</v>
      </c>
    </row>
    <row r="970" spans="5:5" x14ac:dyDescent="0.3">
      <c r="E970" s="6">
        <v>9</v>
      </c>
    </row>
    <row r="971" spans="5:5" x14ac:dyDescent="0.3">
      <c r="E971" s="6">
        <v>10</v>
      </c>
    </row>
    <row r="972" spans="5:5" x14ac:dyDescent="0.3">
      <c r="E972" s="6">
        <v>11</v>
      </c>
    </row>
    <row r="973" spans="5:5" x14ac:dyDescent="0.3">
      <c r="E973" s="6">
        <v>12</v>
      </c>
    </row>
    <row r="974" spans="5:5" x14ac:dyDescent="0.3">
      <c r="E974" s="6">
        <v>13</v>
      </c>
    </row>
    <row r="975" spans="5:5" x14ac:dyDescent="0.3">
      <c r="E975" s="6">
        <v>14</v>
      </c>
    </row>
    <row r="976" spans="5:5" x14ac:dyDescent="0.3">
      <c r="E976" s="6">
        <v>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4:V15"/>
  <sheetViews>
    <sheetView zoomScaleNormal="100" workbookViewId="0"/>
  </sheetViews>
  <sheetFormatPr baseColWidth="10" defaultColWidth="11.44140625" defaultRowHeight="14.4" x14ac:dyDescent="0.3"/>
  <cols>
    <col min="1" max="2" width="11.44140625" style="1"/>
    <col min="3" max="3" width="2.88671875" style="1" customWidth="1"/>
    <col min="4" max="13" width="11.44140625" style="1"/>
    <col min="14" max="14" width="2.88671875" style="1" customWidth="1"/>
    <col min="15" max="16384" width="11.44140625" style="1"/>
  </cols>
  <sheetData>
    <row r="4" spans="2:22" x14ac:dyDescent="0.3">
      <c r="B4" s="1" t="s">
        <v>19</v>
      </c>
      <c r="D4" s="1" t="s">
        <v>20</v>
      </c>
      <c r="M4" s="1" t="s">
        <v>19</v>
      </c>
      <c r="O4" s="1" t="s">
        <v>21</v>
      </c>
    </row>
    <row r="6" spans="2:22" x14ac:dyDescent="0.3">
      <c r="B6" s="1">
        <v>1</v>
      </c>
      <c r="D6" s="1">
        <v>-30</v>
      </c>
      <c r="E6" s="1">
        <v>-58.572000000000003</v>
      </c>
      <c r="F6" s="1">
        <v>-87.144000000000005</v>
      </c>
      <c r="G6" s="1">
        <v>-38.568000000000005</v>
      </c>
      <c r="H6" s="1">
        <v>11.425999999999901</v>
      </c>
      <c r="I6" s="1">
        <v>50.475999999999999</v>
      </c>
      <c r="J6" s="1">
        <v>55.238</v>
      </c>
      <c r="K6" s="1">
        <v>60</v>
      </c>
      <c r="M6" s="1">
        <v>1</v>
      </c>
      <c r="O6" s="1">
        <v>-30</v>
      </c>
      <c r="P6" s="1">
        <v>27.143999999999902</v>
      </c>
      <c r="Q6" s="1">
        <v>84.287999999999997</v>
      </c>
      <c r="R6" s="1">
        <v>70.713000000000008</v>
      </c>
      <c r="S6" s="1">
        <v>42.144999999999996</v>
      </c>
      <c r="T6" s="1">
        <v>9.048</v>
      </c>
      <c r="U6" s="1">
        <v>-0.47600000000000098</v>
      </c>
      <c r="V6" s="1">
        <v>-10</v>
      </c>
    </row>
    <row r="7" spans="2:22" x14ac:dyDescent="0.3">
      <c r="B7" s="1">
        <v>0.7</v>
      </c>
      <c r="D7" s="1">
        <v>-30</v>
      </c>
      <c r="E7" s="1">
        <v>-58.572000000000003</v>
      </c>
      <c r="F7" s="1">
        <v>-87.144000000000005</v>
      </c>
      <c r="G7" s="1">
        <v>-38.568000000000005</v>
      </c>
      <c r="H7" s="1">
        <v>11.425999999999901</v>
      </c>
      <c r="I7" s="1">
        <v>50.475999999999999</v>
      </c>
      <c r="J7" s="1">
        <v>55.238</v>
      </c>
      <c r="K7" s="1">
        <v>60</v>
      </c>
      <c r="M7" s="1">
        <v>0.7</v>
      </c>
      <c r="O7" s="1">
        <v>-30</v>
      </c>
      <c r="P7" s="1">
        <v>27.143999999999902</v>
      </c>
      <c r="Q7" s="1">
        <v>84.287999999999997</v>
      </c>
      <c r="R7" s="1">
        <v>70.713000000000008</v>
      </c>
      <c r="S7" s="1">
        <v>42.144999999999996</v>
      </c>
      <c r="T7" s="1">
        <v>9.048</v>
      </c>
      <c r="U7" s="1">
        <v>-0.47600000000000098</v>
      </c>
      <c r="V7" s="1">
        <v>-10</v>
      </c>
    </row>
    <row r="8" spans="2:22" x14ac:dyDescent="0.3">
      <c r="B8" s="1">
        <v>0.4</v>
      </c>
      <c r="D8" s="1">
        <v>-30</v>
      </c>
      <c r="E8" s="1">
        <v>-58.572000000000003</v>
      </c>
      <c r="F8" s="1">
        <v>-87.144000000000005</v>
      </c>
      <c r="G8" s="1">
        <v>-38.568000000000005</v>
      </c>
      <c r="H8" s="1">
        <v>11.425999999999901</v>
      </c>
      <c r="I8" s="1">
        <v>50.475999999999999</v>
      </c>
      <c r="J8" s="1">
        <v>55.238</v>
      </c>
      <c r="K8" s="1">
        <v>60</v>
      </c>
      <c r="M8" s="1">
        <v>0.4</v>
      </c>
      <c r="O8" s="1">
        <v>-30</v>
      </c>
      <c r="P8" s="1">
        <v>27.143999999999902</v>
      </c>
      <c r="Q8" s="1">
        <v>84.287999999999997</v>
      </c>
      <c r="R8" s="1">
        <v>70.713000000000008</v>
      </c>
      <c r="S8" s="1">
        <v>42.144999999999996</v>
      </c>
      <c r="T8" s="1">
        <v>9.048</v>
      </c>
      <c r="U8" s="1">
        <v>-0.47600000000000098</v>
      </c>
      <c r="V8" s="1">
        <v>-10</v>
      </c>
    </row>
    <row r="9" spans="2:22" x14ac:dyDescent="0.3">
      <c r="B9" s="1">
        <v>0.1</v>
      </c>
      <c r="D9" s="1">
        <v>-30</v>
      </c>
      <c r="E9" s="1">
        <v>-57.272842962585798</v>
      </c>
      <c r="F9" s="1">
        <v>-82.174945215485693</v>
      </c>
      <c r="G9" s="1">
        <v>-33.6332400101807</v>
      </c>
      <c r="H9" s="1">
        <v>23.637057775515398</v>
      </c>
      <c r="I9" s="1">
        <v>54.3480642804967</v>
      </c>
      <c r="J9" s="1">
        <v>60.607024688215802</v>
      </c>
      <c r="K9" s="1">
        <v>65.715999999999994</v>
      </c>
      <c r="M9" s="1">
        <v>0.1</v>
      </c>
      <c r="O9" s="1">
        <v>-30</v>
      </c>
      <c r="P9" s="1">
        <v>26.364214812929397</v>
      </c>
      <c r="Q9" s="1">
        <v>76.959459459459396</v>
      </c>
      <c r="R9" s="1">
        <v>64.998091117332606</v>
      </c>
      <c r="S9" s="1">
        <v>30.453677780605698</v>
      </c>
      <c r="T9" s="1">
        <v>2.1731190650109498</v>
      </c>
      <c r="U9" s="1">
        <v>-7.5769916009162595</v>
      </c>
      <c r="V9" s="1">
        <v>-15.7159999999999</v>
      </c>
    </row>
    <row r="10" spans="2:22" x14ac:dyDescent="0.3">
      <c r="B10" s="1">
        <v>-0.1</v>
      </c>
      <c r="D10" s="1">
        <v>-30</v>
      </c>
      <c r="E10" s="1">
        <v>-26.9725120895902</v>
      </c>
      <c r="F10" s="1">
        <v>-16.963111760408999</v>
      </c>
      <c r="G10" s="1">
        <v>17.723975566301799</v>
      </c>
      <c r="H10" s="1">
        <v>59.088826673453795</v>
      </c>
      <c r="I10" s="1">
        <v>75.215485756026297</v>
      </c>
      <c r="J10" s="1">
        <v>79.695851361669597</v>
      </c>
      <c r="K10" s="1">
        <v>87.141999999999996</v>
      </c>
      <c r="M10" s="1">
        <v>-0.1</v>
      </c>
      <c r="O10" s="1">
        <v>-30</v>
      </c>
      <c r="P10" s="1">
        <v>14.2440824637312</v>
      </c>
      <c r="Q10" s="1">
        <v>50.874726077428697</v>
      </c>
      <c r="R10" s="1">
        <v>27.274115551030796</v>
      </c>
      <c r="S10" s="1">
        <v>-7.2702977856961004</v>
      </c>
      <c r="T10" s="1">
        <v>-25.215485756026201</v>
      </c>
      <c r="U10" s="1">
        <v>-29.6958513616696</v>
      </c>
      <c r="V10" s="1">
        <v>-37.141999999999996</v>
      </c>
    </row>
    <row r="11" spans="2:22" x14ac:dyDescent="0.3">
      <c r="B11" s="1">
        <v>-0.4</v>
      </c>
      <c r="D11" s="1">
        <v>-30</v>
      </c>
      <c r="E11" s="1">
        <v>-10.952</v>
      </c>
      <c r="F11" s="1">
        <v>8.0960000000000001</v>
      </c>
      <c r="G11" s="1">
        <v>42.144999999999996</v>
      </c>
      <c r="H11" s="1">
        <v>67.141999999999996</v>
      </c>
      <c r="I11" s="1">
        <v>80.475999999999999</v>
      </c>
      <c r="J11" s="1">
        <v>85.238</v>
      </c>
      <c r="K11" s="1">
        <v>90</v>
      </c>
      <c r="M11" s="1">
        <v>-0.4</v>
      </c>
      <c r="O11" s="1">
        <v>-30</v>
      </c>
      <c r="P11" s="1">
        <v>8.0959999999999894</v>
      </c>
      <c r="Q11" s="1">
        <v>46.192</v>
      </c>
      <c r="R11" s="1">
        <v>11.425999999999901</v>
      </c>
      <c r="S11" s="1">
        <v>-17.141999999999999</v>
      </c>
      <c r="T11" s="1">
        <v>-30.475999999999999</v>
      </c>
      <c r="U11" s="1">
        <v>-35.238</v>
      </c>
      <c r="V11" s="1">
        <v>-40</v>
      </c>
    </row>
    <row r="12" spans="2:22" x14ac:dyDescent="0.3">
      <c r="B12" s="1">
        <v>-0.7</v>
      </c>
      <c r="D12" s="1">
        <v>-30</v>
      </c>
      <c r="E12" s="1">
        <v>-10.952</v>
      </c>
      <c r="F12" s="1">
        <v>8.0960000000000001</v>
      </c>
      <c r="G12" s="1">
        <v>42.144999999999996</v>
      </c>
      <c r="H12" s="1">
        <v>67.141999999999996</v>
      </c>
      <c r="I12" s="1">
        <v>80.475999999999999</v>
      </c>
      <c r="J12" s="1">
        <v>85.238</v>
      </c>
      <c r="K12" s="1">
        <v>90</v>
      </c>
      <c r="M12" s="1">
        <v>-0.7</v>
      </c>
      <c r="O12" s="1">
        <v>-30</v>
      </c>
      <c r="P12" s="1">
        <v>8.0959999999999894</v>
      </c>
      <c r="Q12" s="1">
        <v>46.192</v>
      </c>
      <c r="R12" s="1">
        <v>11.425999999999901</v>
      </c>
      <c r="S12" s="1">
        <v>-17.141999999999999</v>
      </c>
      <c r="T12" s="1">
        <v>-30.475999999999999</v>
      </c>
      <c r="U12" s="1">
        <v>-35.238</v>
      </c>
      <c r="V12" s="1">
        <v>-40</v>
      </c>
    </row>
    <row r="13" spans="2:22" x14ac:dyDescent="0.3">
      <c r="B13" s="1">
        <v>-1</v>
      </c>
      <c r="D13" s="1">
        <v>-30</v>
      </c>
      <c r="E13" s="1">
        <v>-10.952</v>
      </c>
      <c r="F13" s="1">
        <v>8.0960000000000001</v>
      </c>
      <c r="G13" s="1">
        <v>42.144999999999996</v>
      </c>
      <c r="H13" s="1">
        <v>67.141999999999996</v>
      </c>
      <c r="I13" s="1">
        <v>80.475999999999999</v>
      </c>
      <c r="J13" s="1">
        <v>85.238</v>
      </c>
      <c r="K13" s="1">
        <v>90</v>
      </c>
      <c r="M13" s="1">
        <v>-1</v>
      </c>
      <c r="O13" s="1">
        <v>-30</v>
      </c>
      <c r="P13" s="1">
        <v>8.0959999999999894</v>
      </c>
      <c r="Q13" s="1">
        <v>46.192</v>
      </c>
      <c r="R13" s="1">
        <v>11.425999999999901</v>
      </c>
      <c r="S13" s="1">
        <v>-17.141999999999999</v>
      </c>
      <c r="T13" s="1">
        <v>-30.475999999999999</v>
      </c>
      <c r="U13" s="1">
        <v>-35.238</v>
      </c>
      <c r="V13" s="1">
        <v>-40</v>
      </c>
    </row>
    <row r="15" spans="2:22" x14ac:dyDescent="0.3">
      <c r="B15" s="1" t="s">
        <v>18</v>
      </c>
      <c r="D15" s="1">
        <v>1</v>
      </c>
      <c r="E15" s="1">
        <v>0.7</v>
      </c>
      <c r="F15" s="1">
        <v>0.4</v>
      </c>
      <c r="G15" s="1">
        <v>0.1</v>
      </c>
      <c r="H15" s="1">
        <v>-0.1</v>
      </c>
      <c r="I15" s="1">
        <v>-0.4</v>
      </c>
      <c r="J15" s="1">
        <v>-0.7</v>
      </c>
      <c r="K15" s="1">
        <v>-1</v>
      </c>
      <c r="M15" s="1" t="s">
        <v>18</v>
      </c>
      <c r="O15" s="1">
        <v>1</v>
      </c>
      <c r="P15" s="1">
        <v>0.7</v>
      </c>
      <c r="Q15" s="1">
        <v>0.4</v>
      </c>
      <c r="R15" s="1">
        <v>0.1</v>
      </c>
      <c r="S15" s="1">
        <v>-0.1</v>
      </c>
      <c r="T15" s="1">
        <v>-0.4</v>
      </c>
      <c r="U15" s="1">
        <v>-0.7</v>
      </c>
      <c r="V15" s="1"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Entrada P</vt:lpstr>
      <vt:lpstr>Entrada D</vt:lpstr>
      <vt:lpstr>Salida M</vt:lpstr>
      <vt:lpstr>Hoja2</vt:lpstr>
      <vt:lpstr>FAM</vt:lpstr>
      <vt:lpstr>Hoja3</vt:lpstr>
      <vt:lpstr>Hoja1</vt:lpstr>
      <vt:lpstr>M=f(P,D)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Dante</dc:creator>
  <cp:lastModifiedBy>LEANDRO QUIROGA</cp:lastModifiedBy>
  <dcterms:created xsi:type="dcterms:W3CDTF">2018-01-12T12:35:27Z</dcterms:created>
  <dcterms:modified xsi:type="dcterms:W3CDTF">2023-04-18T04:45:43Z</dcterms:modified>
</cp:coreProperties>
</file>